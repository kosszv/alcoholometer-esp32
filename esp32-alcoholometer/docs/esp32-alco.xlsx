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60" yWindow="15" windowWidth="20955" windowHeight="9720" activeTab="1"/>
  </bookViews>
  <sheets>
    <sheet name="Плата V1" sheetId="1" r:id="rId1"/>
    <sheet name="Плата V2" sheetId="5" r:id="rId2"/>
    <sheet name="LCD 1602" sheetId="2" r:id="rId3"/>
    <sheet name="Пересчет давления" sheetId="3" r:id="rId4"/>
    <sheet name="Пересчет в алкоголь" sheetId="4" r:id="rId5"/>
  </sheets>
  <calcPr calcId="125725"/>
</workbook>
</file>

<file path=xl/calcChain.xml><?xml version="1.0" encoding="utf-8"?>
<calcChain xmlns="http://schemas.openxmlformats.org/spreadsheetml/2006/main">
  <c r="DV4" i="4"/>
  <c r="C4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AY4"/>
  <c r="AZ4"/>
  <c r="BA4"/>
  <c r="BB4"/>
  <c r="BC4"/>
  <c r="BD4"/>
  <c r="BE4"/>
  <c r="BF4"/>
  <c r="BG4"/>
  <c r="BH4"/>
  <c r="BI4"/>
  <c r="BJ4"/>
  <c r="BK4"/>
  <c r="BL4"/>
  <c r="BM4"/>
  <c r="BN4"/>
  <c r="BO4"/>
  <c r="BP4"/>
  <c r="BQ4"/>
  <c r="BR4"/>
  <c r="BS4"/>
  <c r="BT4"/>
  <c r="BU4"/>
  <c r="BV4"/>
  <c r="BW4"/>
  <c r="BX4"/>
  <c r="BY4"/>
  <c r="BZ4"/>
  <c r="CA4"/>
  <c r="CB4"/>
  <c r="CC4"/>
  <c r="CD4"/>
  <c r="CE4"/>
  <c r="CF4"/>
  <c r="CG4"/>
  <c r="CH4"/>
  <c r="CI4"/>
  <c r="CJ4"/>
  <c r="CK4"/>
  <c r="CL4"/>
  <c r="CM4"/>
  <c r="CN4"/>
  <c r="CO4"/>
  <c r="CP4"/>
  <c r="CQ4"/>
  <c r="CR4"/>
  <c r="CS4"/>
  <c r="CT4"/>
  <c r="CU4"/>
  <c r="CV4"/>
  <c r="CW4"/>
  <c r="CX4"/>
  <c r="CY4"/>
  <c r="CZ4"/>
  <c r="DA4"/>
  <c r="DB4"/>
  <c r="DC4"/>
  <c r="DD4"/>
  <c r="DE4"/>
  <c r="DF4"/>
  <c r="DG4"/>
  <c r="DH4"/>
  <c r="DI4"/>
  <c r="DJ4"/>
  <c r="DK4"/>
  <c r="DL4"/>
  <c r="DM4"/>
  <c r="DN4"/>
  <c r="DO4"/>
  <c r="DP4"/>
  <c r="DQ4"/>
  <c r="DR4"/>
  <c r="DS4"/>
  <c r="DT4"/>
  <c r="DU4"/>
  <c r="DW4"/>
  <c r="DX4"/>
  <c r="DY4"/>
  <c r="DZ4"/>
  <c r="EA4"/>
  <c r="EB4"/>
  <c r="EC4"/>
  <c r="ED4"/>
  <c r="EE4"/>
  <c r="EF4"/>
  <c r="EG4"/>
  <c r="EH4"/>
  <c r="EI4"/>
  <c r="EJ4"/>
  <c r="EK4"/>
  <c r="EL4"/>
  <c r="EM4"/>
  <c r="EN4"/>
  <c r="EO4"/>
  <c r="EP4"/>
  <c r="EQ4"/>
  <c r="ER4"/>
  <c r="ES4"/>
  <c r="ET4"/>
  <c r="EU4"/>
  <c r="EV4"/>
  <c r="EW4"/>
  <c r="EX4"/>
  <c r="EY4"/>
  <c r="EZ4"/>
  <c r="FA4"/>
  <c r="FB4"/>
  <c r="FC4"/>
  <c r="FD4"/>
  <c r="FE4"/>
  <c r="FF4"/>
  <c r="FG4"/>
  <c r="FH4"/>
  <c r="FI4"/>
  <c r="FJ4"/>
  <c r="FK4"/>
  <c r="FL4"/>
  <c r="FM4"/>
  <c r="FN4"/>
  <c r="FO4"/>
  <c r="FP4"/>
  <c r="FQ4"/>
  <c r="FR4"/>
  <c r="FS4"/>
  <c r="FT4"/>
  <c r="FU4"/>
  <c r="FV4"/>
  <c r="FW4"/>
  <c r="FX4"/>
  <c r="FY4"/>
  <c r="FZ4"/>
  <c r="GA4"/>
  <c r="GB4"/>
  <c r="GC4"/>
  <c r="GD4"/>
  <c r="GE4"/>
  <c r="GF4"/>
  <c r="GG4"/>
  <c r="GH4"/>
  <c r="GI4"/>
  <c r="GJ4"/>
  <c r="GK4"/>
  <c r="GL4"/>
  <c r="GM4"/>
  <c r="GN4"/>
  <c r="GO4"/>
  <c r="GP4"/>
  <c r="GQ4"/>
  <c r="GR4"/>
  <c r="B4"/>
  <c r="C2"/>
  <c r="D2"/>
  <c r="E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A2"/>
  <c r="DB2"/>
  <c r="DC2"/>
  <c r="DD2"/>
  <c r="DE2"/>
  <c r="DF2"/>
  <c r="DG2"/>
  <c r="DH2"/>
  <c r="DI2"/>
  <c r="DJ2"/>
  <c r="DK2"/>
  <c r="DL2"/>
  <c r="DM2"/>
  <c r="DN2"/>
  <c r="DO2"/>
  <c r="DP2"/>
  <c r="DQ2"/>
  <c r="DR2"/>
  <c r="DS2"/>
  <c r="DT2"/>
  <c r="DU2"/>
  <c r="DV2"/>
  <c r="DW2"/>
  <c r="DX2"/>
  <c r="DY2"/>
  <c r="DZ2"/>
  <c r="EA2"/>
  <c r="EB2"/>
  <c r="EC2"/>
  <c r="ED2"/>
  <c r="EE2"/>
  <c r="EF2"/>
  <c r="EG2"/>
  <c r="EH2"/>
  <c r="EI2"/>
  <c r="EJ2"/>
  <c r="EK2"/>
  <c r="EL2"/>
  <c r="EM2"/>
  <c r="EN2"/>
  <c r="EO2"/>
  <c r="EP2"/>
  <c r="EQ2"/>
  <c r="ER2"/>
  <c r="ES2"/>
  <c r="ET2"/>
  <c r="EU2"/>
  <c r="EV2"/>
  <c r="EW2"/>
  <c r="EX2"/>
  <c r="EY2"/>
  <c r="EZ2"/>
  <c r="FA2"/>
  <c r="FB2"/>
  <c r="FC2"/>
  <c r="FD2"/>
  <c r="FE2"/>
  <c r="FF2"/>
  <c r="FG2"/>
  <c r="FH2"/>
  <c r="FI2"/>
  <c r="FJ2"/>
  <c r="FK2"/>
  <c r="FL2"/>
  <c r="FM2"/>
  <c r="FN2"/>
  <c r="FO2"/>
  <c r="FP2"/>
  <c r="FQ2"/>
  <c r="FR2"/>
  <c r="FS2"/>
  <c r="FT2"/>
  <c r="FU2"/>
  <c r="FV2"/>
  <c r="FW2"/>
  <c r="FX2"/>
  <c r="FY2"/>
  <c r="FZ2"/>
  <c r="GA2"/>
  <c r="GB2"/>
  <c r="GC2"/>
  <c r="GD2"/>
  <c r="GE2"/>
  <c r="GF2"/>
  <c r="GG2"/>
  <c r="GH2"/>
  <c r="GI2"/>
  <c r="GJ2"/>
  <c r="GK2"/>
  <c r="GL2"/>
  <c r="GM2"/>
  <c r="GN2"/>
  <c r="GO2"/>
  <c r="GP2"/>
  <c r="GQ2"/>
  <c r="GR2"/>
  <c r="B2"/>
  <c r="E11" i="3"/>
  <c r="F11" s="1"/>
  <c r="E20"/>
  <c r="F20" s="1"/>
  <c r="E43"/>
  <c r="F43" s="1"/>
  <c r="C3"/>
  <c r="E3" s="1"/>
  <c r="F3" s="1"/>
  <c r="C4"/>
  <c r="E4" s="1"/>
  <c r="F4" s="1"/>
  <c r="C5"/>
  <c r="E5" s="1"/>
  <c r="F5" s="1"/>
  <c r="C6"/>
  <c r="E6" s="1"/>
  <c r="F6" s="1"/>
  <c r="C7"/>
  <c r="E7" s="1"/>
  <c r="F7" s="1"/>
  <c r="C8"/>
  <c r="E8" s="1"/>
  <c r="F8" s="1"/>
  <c r="C9"/>
  <c r="E9" s="1"/>
  <c r="F9" s="1"/>
  <c r="C10"/>
  <c r="E10" s="1"/>
  <c r="F10" s="1"/>
  <c r="C11"/>
  <c r="C12"/>
  <c r="E12" s="1"/>
  <c r="F12" s="1"/>
  <c r="C13"/>
  <c r="E13" s="1"/>
  <c r="F13" s="1"/>
  <c r="C14"/>
  <c r="E14" s="1"/>
  <c r="F14" s="1"/>
  <c r="C15"/>
  <c r="E15" s="1"/>
  <c r="F15" s="1"/>
  <c r="C16"/>
  <c r="E16" s="1"/>
  <c r="F16" s="1"/>
  <c r="C17"/>
  <c r="E17" s="1"/>
  <c r="F17" s="1"/>
  <c r="C18"/>
  <c r="E18" s="1"/>
  <c r="F18" s="1"/>
  <c r="C19"/>
  <c r="E19" s="1"/>
  <c r="F19" s="1"/>
  <c r="C20"/>
  <c r="C21"/>
  <c r="E21" s="1"/>
  <c r="F21" s="1"/>
  <c r="C22"/>
  <c r="E22" s="1"/>
  <c r="F22" s="1"/>
  <c r="C23"/>
  <c r="E23" s="1"/>
  <c r="F23" s="1"/>
  <c r="C24"/>
  <c r="E24" s="1"/>
  <c r="F24" s="1"/>
  <c r="C25"/>
  <c r="E25" s="1"/>
  <c r="F25" s="1"/>
  <c r="C26"/>
  <c r="E26" s="1"/>
  <c r="F26" s="1"/>
  <c r="C27"/>
  <c r="E27" s="1"/>
  <c r="F27" s="1"/>
  <c r="C28"/>
  <c r="E28" s="1"/>
  <c r="F28" s="1"/>
  <c r="C29"/>
  <c r="E29" s="1"/>
  <c r="F29" s="1"/>
  <c r="C30"/>
  <c r="E30" s="1"/>
  <c r="F30" s="1"/>
  <c r="C31"/>
  <c r="E31" s="1"/>
  <c r="F31" s="1"/>
  <c r="C32"/>
  <c r="E32" s="1"/>
  <c r="F32" s="1"/>
  <c r="C33"/>
  <c r="E33" s="1"/>
  <c r="F33" s="1"/>
  <c r="C34"/>
  <c r="E34" s="1"/>
  <c r="F34" s="1"/>
  <c r="C35"/>
  <c r="E35" s="1"/>
  <c r="F35" s="1"/>
  <c r="C36"/>
  <c r="E36" s="1"/>
  <c r="F36" s="1"/>
  <c r="C37"/>
  <c r="E37" s="1"/>
  <c r="F37" s="1"/>
  <c r="C38"/>
  <c r="E38" s="1"/>
  <c r="F38" s="1"/>
  <c r="C39"/>
  <c r="E39" s="1"/>
  <c r="F39" s="1"/>
  <c r="C40"/>
  <c r="E40" s="1"/>
  <c r="F40" s="1"/>
  <c r="C41"/>
  <c r="E41" s="1"/>
  <c r="F41" s="1"/>
  <c r="C42"/>
  <c r="E42" s="1"/>
  <c r="F42" s="1"/>
  <c r="C43"/>
  <c r="C44"/>
  <c r="E44" s="1"/>
  <c r="F44" s="1"/>
  <c r="C45"/>
  <c r="E45" s="1"/>
  <c r="F45" s="1"/>
  <c r="C46"/>
  <c r="E46" s="1"/>
  <c r="F46" s="1"/>
  <c r="C2"/>
  <c r="E2" s="1"/>
  <c r="F2" s="1"/>
  <c r="G38" l="1"/>
</calcChain>
</file>

<file path=xl/sharedStrings.xml><?xml version="1.0" encoding="utf-8"?>
<sst xmlns="http://schemas.openxmlformats.org/spreadsheetml/2006/main" count="715" uniqueCount="151">
  <si>
    <t>Назначение в проекте</t>
  </si>
  <si>
    <t>Функция Arduino или по умолчанию</t>
  </si>
  <si>
    <t>Вход</t>
  </si>
  <si>
    <t>Выход</t>
  </si>
  <si>
    <t>Pull INT</t>
  </si>
  <si>
    <t>Pull EXT</t>
  </si>
  <si>
    <t>ADC</t>
  </si>
  <si>
    <t>Обозн.</t>
  </si>
  <si>
    <t>№ вывода</t>
  </si>
  <si>
    <t>ESP-WROOM-32 DevKitC v4</t>
  </si>
  <si>
    <t>Выход  с встр. стабилизатора</t>
  </si>
  <si>
    <t>3V3</t>
  </si>
  <si>
    <t>GND</t>
  </si>
  <si>
    <t>Общий провод</t>
  </si>
  <si>
    <t>Сброс [ LOW ]</t>
  </si>
  <si>
    <t>❌</t>
  </si>
  <si>
    <t>U</t>
  </si>
  <si>
    <t>EN</t>
  </si>
  <si>
    <t>GPIO23</t>
  </si>
  <si>
    <t>➕</t>
  </si>
  <si>
    <t>VSPI MOSI</t>
  </si>
  <si>
    <t>VP / 36</t>
  </si>
  <si>
    <t>GPIO22</t>
  </si>
  <si>
    <t>I2C SCL</t>
  </si>
  <si>
    <t>VN / 39</t>
  </si>
  <si>
    <t>TXD / 1</t>
  </si>
  <si>
    <t>SERIAL TX</t>
  </si>
  <si>
    <t>Системный UART0: TX</t>
  </si>
  <si>
    <t>GPI 34</t>
  </si>
  <si>
    <t>RXD / 3</t>
  </si>
  <si>
    <t>SERIAL RX</t>
  </si>
  <si>
    <t>Системный UART0: RX</t>
  </si>
  <si>
    <t>GPI 35</t>
  </si>
  <si>
    <t>GPIO21</t>
  </si>
  <si>
    <t>I2C SDA</t>
  </si>
  <si>
    <t>GPIO32</t>
  </si>
  <si>
    <t>-</t>
  </si>
  <si>
    <t>GPIO33</t>
  </si>
  <si>
    <t>GPIO19</t>
  </si>
  <si>
    <t>VSPI MISO</t>
  </si>
  <si>
    <t>GPIO25</t>
  </si>
  <si>
    <t>GPIO18</t>
  </si>
  <si>
    <t>VSPI CLK</t>
  </si>
  <si>
    <t>GPIO26</t>
  </si>
  <si>
    <t>GPIO5</t>
  </si>
  <si>
    <t>!</t>
  </si>
  <si>
    <t>VSPI CS0</t>
  </si>
  <si>
    <t>GPIO27</t>
  </si>
  <si>
    <t>GPIO17</t>
  </si>
  <si>
    <t>UART2 TX</t>
  </si>
  <si>
    <t>HSPI CLK</t>
  </si>
  <si>
    <t>GPIO14</t>
  </si>
  <si>
    <t>GPIO16</t>
  </si>
  <si>
    <t>UART2 RX</t>
  </si>
  <si>
    <t>HSPI MISO</t>
  </si>
  <si>
    <t>D</t>
  </si>
  <si>
    <t>GPIO12</t>
  </si>
  <si>
    <t>GPIO4</t>
  </si>
  <si>
    <t>GPIO0</t>
  </si>
  <si>
    <t>HSPI MOSI</t>
  </si>
  <si>
    <t>GPIO13</t>
  </si>
  <si>
    <t>GPIO2</t>
  </si>
  <si>
    <t>Доступ к FLASH памяти</t>
  </si>
  <si>
    <t>SD2</t>
  </si>
  <si>
    <t>GPIO15</t>
  </si>
  <si>
    <t>HSPI CS0</t>
  </si>
  <si>
    <t>SD3</t>
  </si>
  <si>
    <t>SD1</t>
  </si>
  <si>
    <t>CMD</t>
  </si>
  <si>
    <t>SD0</t>
  </si>
  <si>
    <t>Питание 5В</t>
  </si>
  <si>
    <t>V5</t>
  </si>
  <si>
    <t>CLK</t>
  </si>
  <si>
    <t>Особенности GPIO</t>
  </si>
  <si>
    <t>Внутр. подтяжка 
по умолчанию</t>
  </si>
  <si>
    <t>Тип входа</t>
  </si>
  <si>
    <t>Режим цифрового ввода или вывода (DIN &amp; DOUT)</t>
  </si>
  <si>
    <t>Питание</t>
  </si>
  <si>
    <t>Универсальный</t>
  </si>
  <si>
    <t>Можно использовать без ограничений</t>
  </si>
  <si>
    <t>Общий провод (GND)</t>
  </si>
  <si>
    <t>WPU (к 3,3В)</t>
  </si>
  <si>
    <t>Только вход</t>
  </si>
  <si>
    <t>Нельзя использовать</t>
  </si>
  <si>
    <t>System (использовать нельзя)</t>
  </si>
  <si>
    <t>WPD (к GND)</t>
  </si>
  <si>
    <t>ADC 1</t>
  </si>
  <si>
    <t>Можно, но требуется обеспечить уровни при сбросе MCU</t>
  </si>
  <si>
    <t>Strapping Pins (не реккомендуется использовать)</t>
  </si>
  <si>
    <t>ADC 2 (не работает с WiFi)</t>
  </si>
  <si>
    <t>Можно, но при сбросе MCU могут изменяться уровни</t>
  </si>
  <si>
    <t>Порт для прошивки и отладки</t>
  </si>
  <si>
    <t>Подтяжка при сбросе MCU</t>
  </si>
  <si>
    <t>DAC</t>
  </si>
  <si>
    <t>Можно использовать как ADC / АЦП</t>
  </si>
  <si>
    <t>Pull UP (к 3,3В)</t>
  </si>
  <si>
    <t>Pull INT (встроенная "слабая" подтяжка)</t>
  </si>
  <si>
    <t>Pull Down (к GND)</t>
  </si>
  <si>
    <t>По умолчанию включена Pull UP</t>
  </si>
  <si>
    <t>По умолчанию включена Pull DOWN</t>
  </si>
  <si>
    <t>Имеется, по умолчанию отключена</t>
  </si>
  <si>
    <t>Отстутствует</t>
  </si>
  <si>
    <t>.</t>
  </si>
  <si>
    <t>%</t>
  </si>
  <si>
    <t>9</t>
  </si>
  <si>
    <t>2</t>
  </si>
  <si>
    <t>3</t>
  </si>
  <si>
    <t>:</t>
  </si>
  <si>
    <t>0</t>
  </si>
  <si>
    <t>Кнопка "Режим"</t>
  </si>
  <si>
    <t>Кнопка "+"</t>
  </si>
  <si>
    <t>Кнопка "-"</t>
  </si>
  <si>
    <t>Кнопка "Меню"</t>
  </si>
  <si>
    <t>Зуммер</t>
  </si>
  <si>
    <t>Светодиод системный</t>
  </si>
  <si>
    <t>Датчик температуры DS18B20</t>
  </si>
  <si>
    <t>7</t>
  </si>
  <si>
    <t>5</t>
  </si>
  <si>
    <t>→</t>
  </si>
  <si>
    <t>8</t>
  </si>
  <si>
    <t>kPa</t>
  </si>
  <si>
    <t>tC</t>
  </si>
  <si>
    <t>mmHg</t>
  </si>
  <si>
    <t>k</t>
  </si>
  <si>
    <t>calc_mm</t>
  </si>
  <si>
    <t>T</t>
  </si>
  <si>
    <t>+</t>
  </si>
  <si>
    <t>1</t>
  </si>
  <si>
    <t>К</t>
  </si>
  <si>
    <t>О</t>
  </si>
  <si>
    <t>Р</t>
  </si>
  <si>
    <t xml:space="preserve"> </t>
  </si>
  <si>
    <t>°</t>
  </si>
  <si>
    <t>C</t>
  </si>
  <si>
    <t>N</t>
  </si>
  <si>
    <t>O</t>
  </si>
  <si>
    <t>S</t>
  </si>
  <si>
    <t>E</t>
  </si>
  <si>
    <t>R</t>
  </si>
  <si>
    <t>Номальный режим</t>
  </si>
  <si>
    <t>Режим настройки корректировки температуры</t>
  </si>
  <si>
    <t>Режим настройки точки кипения</t>
  </si>
  <si>
    <t>Сенсор не подключен или сбой</t>
  </si>
  <si>
    <t>I2C #1 SDA LCD1602</t>
  </si>
  <si>
    <t>I2C #1 SCL LCD1602</t>
  </si>
  <si>
    <t>I2C #0 SDA BMP180</t>
  </si>
  <si>
    <t>I2C #0 SCL BMP180</t>
  </si>
  <si>
    <t>t int</t>
  </si>
  <si>
    <t>t float</t>
  </si>
  <si>
    <t>alc int</t>
  </si>
  <si>
    <t>alc float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</si>
</sst>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6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scheme val="minor"/>
    </font>
    <font>
      <sz val="8"/>
      <color theme="1"/>
      <name val="Calibri"/>
      <scheme val="minor"/>
    </font>
    <font>
      <b/>
      <sz val="10"/>
      <color theme="9" tint="0.79998168889431442"/>
      <name val="Calibri"/>
      <scheme val="minor"/>
    </font>
    <font>
      <sz val="10"/>
      <color indexed="5"/>
      <name val="Calibri"/>
      <scheme val="minor"/>
    </font>
    <font>
      <sz val="8"/>
      <color indexed="5"/>
      <name val="Calibri"/>
      <scheme val="minor"/>
    </font>
    <font>
      <sz val="8"/>
      <color theme="0"/>
      <name val="Calibri"/>
      <scheme val="minor"/>
    </font>
    <font>
      <sz val="10"/>
      <color theme="0"/>
      <name val="Calibri"/>
      <scheme val="minor"/>
    </font>
    <font>
      <sz val="10"/>
      <color indexed="2"/>
      <name val="Calibri"/>
      <scheme val="minor"/>
    </font>
    <font>
      <sz val="10"/>
      <color rgb="FF00B050"/>
      <name val="Calibri"/>
      <scheme val="minor"/>
    </font>
    <font>
      <sz val="10"/>
      <name val="Calibri"/>
      <scheme val="minor"/>
    </font>
    <font>
      <sz val="8"/>
      <name val="Calibri"/>
      <scheme val="minor"/>
    </font>
    <font>
      <b/>
      <sz val="10"/>
      <color indexed="2"/>
      <name val="Calibri"/>
      <scheme val="minor"/>
    </font>
    <font>
      <b/>
      <i/>
      <sz val="10"/>
      <color theme="9" tint="0.79998168889431442"/>
      <name val="Calibri"/>
      <scheme val="minor"/>
    </font>
    <font>
      <sz val="11"/>
      <color theme="1"/>
      <name val="Calibri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92D050"/>
        <bgColor rgb="FF92D050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2" tint="-9.9978637043366805E-2"/>
        <bgColor theme="2" tint="-9.9978637043366805E-2"/>
      </patternFill>
    </fill>
    <fill>
      <patternFill patternType="solid">
        <fgColor theme="2" tint="-0.249977111117893"/>
        <bgColor theme="2" tint="-0.249977111117893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0"/>
        <bgColor theme="0"/>
      </patternFill>
    </fill>
    <fill>
      <patternFill patternType="solid">
        <fgColor theme="1" tint="0.499984740745262"/>
        <bgColor theme="1" tint="0.499984740745262"/>
      </patternFill>
    </fill>
    <fill>
      <patternFill patternType="solid">
        <fgColor indexed="2"/>
        <bgColor indexed="2"/>
      </patternFill>
    </fill>
    <fill>
      <patternFill patternType="solid">
        <fgColor indexed="2"/>
        <bgColor indexed="2"/>
      </patternFill>
    </fill>
    <fill>
      <patternFill patternType="solid">
        <fgColor rgb="FF0070C0"/>
        <bgColor theme="0" tint="-0.499984740745262"/>
      </patternFill>
    </fill>
    <fill>
      <patternFill patternType="solid">
        <fgColor rgb="FF0070C0"/>
        <bgColor rgb="FF0070C0"/>
      </patternFill>
    </fill>
    <fill>
      <patternFill patternType="solid">
        <fgColor theme="0" tint="-0.249977111117893"/>
        <bgColor theme="0" tint="-0.249977111117893"/>
      </patternFill>
    </fill>
    <fill>
      <patternFill patternType="solid">
        <fgColor theme="5" tint="0.39997558519241921"/>
        <bgColor theme="0" tint="-0.249977111117893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6" tint="-0.499984740745262"/>
        <bgColor theme="6" tint="-0.49998474074526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rgb="FF00B0F0"/>
        <bgColor rgb="FF00B0F0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8" tint="-0.249977111117893"/>
        <bgColor theme="8" tint="-0.249977111117893"/>
      </patternFill>
    </fill>
    <fill>
      <patternFill patternType="solid">
        <fgColor indexed="5"/>
        <bgColor indexed="5"/>
      </patternFill>
    </fill>
    <fill>
      <patternFill patternType="solid">
        <fgColor theme="3" tint="0.79998168889431442"/>
        <bgColor theme="3" tint="0.79998168889431442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0" tint="-0.249977111117893"/>
        <bgColor theme="0" tint="-0.249977111117893"/>
      </patternFill>
    </fill>
    <fill>
      <patternFill patternType="solid">
        <fgColor theme="5" tint="0.59999389629810485"/>
        <bgColor theme="0" tint="-0.249977111117893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10" borderId="15" xfId="0" applyFont="1" applyFill="1" applyBorder="1" applyAlignment="1">
      <alignment horizontal="center" vertical="center"/>
    </xf>
    <xf numFmtId="0" fontId="13" fillId="10" borderId="16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4" fillId="11" borderId="3" xfId="0" applyFont="1" applyFill="1" applyBorder="1" applyAlignment="1">
      <alignment horizontal="center" vertical="center"/>
    </xf>
    <xf numFmtId="0" fontId="10" fillId="8" borderId="17" xfId="0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 vertical="center"/>
    </xf>
    <xf numFmtId="0" fontId="15" fillId="12" borderId="7" xfId="0" applyFont="1" applyFill="1" applyBorder="1" applyAlignment="1">
      <alignment horizontal="center" vertical="center"/>
    </xf>
    <xf numFmtId="0" fontId="16" fillId="12" borderId="18" xfId="0" applyFont="1" applyFill="1" applyBorder="1" applyAlignment="1">
      <alignment horizontal="center" vertical="center"/>
    </xf>
    <xf numFmtId="0" fontId="16" fillId="12" borderId="15" xfId="0" applyFont="1" applyFill="1" applyBorder="1" applyAlignment="1">
      <alignment horizontal="center" vertical="center"/>
    </xf>
    <xf numFmtId="0" fontId="16" fillId="13" borderId="15" xfId="0" applyFont="1" applyFill="1" applyBorder="1" applyAlignment="1">
      <alignment horizontal="center" vertical="center"/>
    </xf>
    <xf numFmtId="0" fontId="10" fillId="14" borderId="15" xfId="0" applyFont="1" applyFill="1" applyBorder="1" applyAlignment="1">
      <alignment horizontal="center" vertical="center"/>
    </xf>
    <xf numFmtId="0" fontId="17" fillId="14" borderId="15" xfId="0" applyFont="1" applyFill="1" applyBorder="1" applyAlignment="1">
      <alignment horizontal="center" vertical="center"/>
    </xf>
    <xf numFmtId="0" fontId="10" fillId="10" borderId="15" xfId="0" applyFont="1" applyFill="1" applyBorder="1" applyAlignment="1">
      <alignment horizontal="center" vertical="center"/>
    </xf>
    <xf numFmtId="0" fontId="17" fillId="14" borderId="16" xfId="0" applyFont="1" applyFill="1" applyBorder="1" applyAlignment="1">
      <alignment horizontal="center" vertical="center"/>
    </xf>
    <xf numFmtId="0" fontId="11" fillId="14" borderId="19" xfId="0" applyFont="1" applyFill="1" applyBorder="1" applyAlignment="1">
      <alignment horizontal="center" vertical="center"/>
    </xf>
    <xf numFmtId="0" fontId="11" fillId="15" borderId="15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3" fillId="16" borderId="16" xfId="0" applyFont="1" applyFill="1" applyBorder="1" applyAlignment="1">
      <alignment horizontal="center" vertical="center"/>
    </xf>
    <xf numFmtId="0" fontId="14" fillId="17" borderId="21" xfId="0" applyFont="1" applyFill="1" applyBorder="1" applyAlignment="1">
      <alignment horizontal="center" vertical="center"/>
    </xf>
    <xf numFmtId="0" fontId="14" fillId="17" borderId="15" xfId="0" applyFont="1" applyFill="1" applyBorder="1" applyAlignment="1">
      <alignment horizontal="center" vertical="center"/>
    </xf>
    <xf numFmtId="0" fontId="11" fillId="18" borderId="15" xfId="0" applyFont="1" applyFill="1" applyBorder="1" applyAlignment="1">
      <alignment horizontal="center" vertical="center"/>
    </xf>
    <xf numFmtId="0" fontId="11" fillId="19" borderId="20" xfId="0" applyFont="1" applyFill="1" applyBorder="1" applyAlignment="1">
      <alignment horizontal="center" vertical="center"/>
    </xf>
    <xf numFmtId="0" fontId="17" fillId="19" borderId="18" xfId="0" applyFont="1" applyFill="1" applyBorder="1" applyAlignment="1">
      <alignment horizontal="center" vertical="center"/>
    </xf>
    <xf numFmtId="0" fontId="17" fillId="19" borderId="15" xfId="0" applyFont="1" applyFill="1" applyBorder="1" applyAlignment="1">
      <alignment horizontal="center" vertical="center"/>
    </xf>
    <xf numFmtId="0" fontId="10" fillId="20" borderId="15" xfId="0" applyFont="1" applyFill="1" applyBorder="1" applyAlignment="1">
      <alignment horizontal="center" vertical="center"/>
    </xf>
    <xf numFmtId="0" fontId="19" fillId="19" borderId="15" xfId="0" applyFont="1" applyFill="1" applyBorder="1" applyAlignment="1">
      <alignment horizontal="center" vertical="center"/>
    </xf>
    <xf numFmtId="0" fontId="10" fillId="19" borderId="15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15" fillId="12" borderId="15" xfId="0" applyFont="1" applyFill="1" applyBorder="1" applyAlignment="1">
      <alignment horizontal="center" vertical="center"/>
    </xf>
    <xf numFmtId="0" fontId="15" fillId="12" borderId="20" xfId="0" applyFont="1" applyFill="1" applyBorder="1" applyAlignment="1">
      <alignment horizontal="center" vertical="center"/>
    </xf>
    <xf numFmtId="0" fontId="15" fillId="21" borderId="15" xfId="0" applyFont="1" applyFill="1" applyBorder="1" applyAlignment="1">
      <alignment horizontal="center" vertical="center"/>
    </xf>
    <xf numFmtId="0" fontId="17" fillId="16" borderId="16" xfId="0" applyFont="1" applyFill="1" applyBorder="1" applyAlignment="1">
      <alignment horizontal="center" vertical="center"/>
    </xf>
    <xf numFmtId="0" fontId="11" fillId="22" borderId="20" xfId="0" applyFont="1" applyFill="1" applyBorder="1" applyAlignment="1">
      <alignment horizontal="center" vertical="center"/>
    </xf>
    <xf numFmtId="0" fontId="17" fillId="22" borderId="15" xfId="0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11" fillId="22" borderId="21" xfId="0" applyFont="1" applyFill="1" applyBorder="1" applyAlignment="1">
      <alignment horizontal="center" vertical="center"/>
    </xf>
    <xf numFmtId="0" fontId="11" fillId="23" borderId="15" xfId="0" applyFont="1" applyFill="1" applyBorder="1" applyAlignment="1">
      <alignment horizontal="center" vertical="center"/>
    </xf>
    <xf numFmtId="0" fontId="11" fillId="24" borderId="15" xfId="0" applyFont="1" applyFill="1" applyBorder="1" applyAlignment="1">
      <alignment horizontal="center" vertical="center"/>
    </xf>
    <xf numFmtId="0" fontId="17" fillId="16" borderId="18" xfId="0" applyFont="1" applyFill="1" applyBorder="1" applyAlignment="1">
      <alignment horizontal="center" vertical="center"/>
    </xf>
    <xf numFmtId="0" fontId="10" fillId="24" borderId="22" xfId="0" applyFont="1" applyFill="1" applyBorder="1" applyAlignment="1">
      <alignment horizontal="center" vertical="center"/>
    </xf>
    <xf numFmtId="0" fontId="10" fillId="13" borderId="15" xfId="0" applyFont="1" applyFill="1" applyBorder="1" applyAlignment="1">
      <alignment horizontal="center" vertical="center"/>
    </xf>
    <xf numFmtId="0" fontId="16" fillId="13" borderId="16" xfId="0" applyFont="1" applyFill="1" applyBorder="1" applyAlignment="1">
      <alignment horizontal="center" vertical="center"/>
    </xf>
    <xf numFmtId="0" fontId="15" fillId="12" borderId="21" xfId="0" applyFont="1" applyFill="1" applyBorder="1" applyAlignment="1">
      <alignment horizontal="center" vertical="center"/>
    </xf>
    <xf numFmtId="0" fontId="17" fillId="22" borderId="16" xfId="0" applyFont="1" applyFill="1" applyBorder="1" applyAlignment="1">
      <alignment horizontal="center" vertical="center"/>
    </xf>
    <xf numFmtId="0" fontId="10" fillId="10" borderId="23" xfId="0" applyFont="1" applyFill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10" fillId="23" borderId="15" xfId="0" applyFont="1" applyFill="1" applyBorder="1" applyAlignment="1">
      <alignment horizontal="center" vertical="center"/>
    </xf>
    <xf numFmtId="0" fontId="19" fillId="22" borderId="16" xfId="0" applyFont="1" applyFill="1" applyBorder="1" applyAlignment="1">
      <alignment horizontal="center" vertical="center"/>
    </xf>
    <xf numFmtId="0" fontId="10" fillId="19" borderId="23" xfId="0" applyFont="1" applyFill="1" applyBorder="1" applyAlignment="1">
      <alignment horizontal="center" vertical="center"/>
    </xf>
    <xf numFmtId="0" fontId="11" fillId="25" borderId="21" xfId="0" applyFont="1" applyFill="1" applyBorder="1" applyAlignment="1">
      <alignment horizontal="center" vertical="center"/>
    </xf>
    <xf numFmtId="0" fontId="11" fillId="26" borderId="15" xfId="0" applyFont="1" applyFill="1" applyBorder="1" applyAlignment="1">
      <alignment horizontal="center" vertical="center"/>
    </xf>
    <xf numFmtId="0" fontId="10" fillId="20" borderId="24" xfId="0" applyFont="1" applyFill="1" applyBorder="1" applyAlignment="1">
      <alignment horizontal="center" vertical="center"/>
    </xf>
    <xf numFmtId="0" fontId="11" fillId="25" borderId="20" xfId="0" applyFont="1" applyFill="1" applyBorder="1" applyAlignment="1">
      <alignment horizontal="center" vertical="center"/>
    </xf>
    <xf numFmtId="0" fontId="17" fillId="25" borderId="18" xfId="0" applyFont="1" applyFill="1" applyBorder="1" applyAlignment="1">
      <alignment horizontal="center" vertical="center"/>
    </xf>
    <xf numFmtId="0" fontId="17" fillId="25" borderId="15" xfId="0" applyFont="1" applyFill="1" applyBorder="1" applyAlignment="1">
      <alignment horizontal="center" vertical="center"/>
    </xf>
    <xf numFmtId="0" fontId="14" fillId="11" borderId="8" xfId="0" applyFont="1" applyFill="1" applyBorder="1" applyAlignment="1">
      <alignment horizontal="center" vertical="center"/>
    </xf>
    <xf numFmtId="0" fontId="14" fillId="11" borderId="10" xfId="0" applyFont="1" applyFill="1" applyBorder="1" applyAlignment="1">
      <alignment horizontal="center" vertical="center"/>
    </xf>
    <xf numFmtId="0" fontId="10" fillId="8" borderId="25" xfId="0" applyFont="1" applyFill="1" applyBorder="1" applyAlignment="1">
      <alignment horizontal="center" vertical="center"/>
    </xf>
    <xf numFmtId="0" fontId="11" fillId="26" borderId="10" xfId="0" applyFont="1" applyFill="1" applyBorder="1" applyAlignment="1">
      <alignment horizontal="center" vertical="center"/>
    </xf>
    <xf numFmtId="0" fontId="11" fillId="25" borderId="14" xfId="0" applyFont="1" applyFill="1" applyBorder="1" applyAlignment="1">
      <alignment horizontal="center" vertical="center"/>
    </xf>
    <xf numFmtId="0" fontId="10" fillId="8" borderId="26" xfId="0" applyFont="1" applyFill="1" applyBorder="1" applyAlignment="1">
      <alignment horizontal="center" vertical="center"/>
    </xf>
    <xf numFmtId="0" fontId="10" fillId="8" borderId="30" xfId="0" applyFont="1" applyFill="1" applyBorder="1" applyAlignment="1">
      <alignment horizontal="center" vertical="center"/>
    </xf>
    <xf numFmtId="0" fontId="13" fillId="16" borderId="15" xfId="0" applyFont="1" applyFill="1" applyBorder="1" applyAlignment="1">
      <alignment horizontal="center" vertical="center"/>
    </xf>
    <xf numFmtId="0" fontId="10" fillId="8" borderId="32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49" fontId="0" fillId="27" borderId="17" xfId="0" applyNumberFormat="1" applyFill="1" applyBorder="1" applyAlignment="1">
      <alignment horizontal="center" vertical="center"/>
    </xf>
    <xf numFmtId="49" fontId="9" fillId="27" borderId="17" xfId="0" applyNumberFormat="1" applyFont="1" applyFill="1" applyBorder="1" applyAlignment="1">
      <alignment horizontal="center" vertical="center"/>
    </xf>
    <xf numFmtId="49" fontId="0" fillId="27" borderId="25" xfId="0" applyNumberFormat="1" applyFill="1" applyBorder="1" applyAlignment="1">
      <alignment horizontal="center" vertical="center"/>
    </xf>
    <xf numFmtId="49" fontId="23" fillId="27" borderId="17" xfId="0" applyNumberFormat="1" applyFont="1" applyFill="1" applyBorder="1" applyAlignment="1">
      <alignment horizontal="center" vertical="center"/>
    </xf>
    <xf numFmtId="49" fontId="23" fillId="27" borderId="25" xfId="0" applyNumberFormat="1" applyFont="1" applyFill="1" applyBorder="1" applyAlignment="1">
      <alignment horizontal="center" vertical="center"/>
    </xf>
    <xf numFmtId="0" fontId="10" fillId="0" borderId="15" xfId="0" applyFont="1" applyFill="1" applyBorder="1" applyAlignment="1">
      <alignment horizontal="center" vertical="center"/>
    </xf>
    <xf numFmtId="0" fontId="10" fillId="27" borderId="15" xfId="0" applyFont="1" applyFill="1" applyBorder="1" applyAlignment="1">
      <alignment horizontal="center" vertical="center"/>
    </xf>
    <xf numFmtId="49" fontId="8" fillId="27" borderId="25" xfId="0" applyNumberFormat="1" applyFont="1" applyFill="1" applyBorder="1" applyAlignment="1">
      <alignment horizontal="center" vertical="center"/>
    </xf>
    <xf numFmtId="49" fontId="8" fillId="27" borderId="45" xfId="0" applyNumberFormat="1" applyFont="1" applyFill="1" applyBorder="1" applyAlignment="1">
      <alignment horizontal="center" vertical="center"/>
    </xf>
    <xf numFmtId="49" fontId="8" fillId="27" borderId="44" xfId="0" applyNumberFormat="1" applyFont="1" applyFill="1" applyBorder="1" applyAlignment="1">
      <alignment horizontal="center" vertical="center"/>
    </xf>
    <xf numFmtId="49" fontId="8" fillId="27" borderId="17" xfId="0" applyNumberFormat="1" applyFont="1" applyFill="1" applyBorder="1" applyAlignment="1">
      <alignment horizontal="center" vertical="center"/>
    </xf>
    <xf numFmtId="49" fontId="8" fillId="27" borderId="43" xfId="0" applyNumberFormat="1" applyFont="1" applyFill="1" applyBorder="1" applyAlignment="1">
      <alignment horizontal="center" vertical="center"/>
    </xf>
    <xf numFmtId="0" fontId="24" fillId="27" borderId="15" xfId="0" applyFont="1" applyFill="1" applyBorder="1" applyAlignment="1">
      <alignment horizontal="center" vertical="center"/>
    </xf>
    <xf numFmtId="2" fontId="0" fillId="0" borderId="0" xfId="0" applyNumberFormat="1"/>
    <xf numFmtId="164" fontId="7" fillId="0" borderId="0" xfId="0" applyNumberFormat="1" applyFont="1"/>
    <xf numFmtId="164" fontId="0" fillId="0" borderId="0" xfId="0" applyNumberFormat="1"/>
    <xf numFmtId="2" fontId="7" fillId="0" borderId="0" xfId="0" applyNumberFormat="1" applyFont="1"/>
    <xf numFmtId="164" fontId="25" fillId="0" borderId="0" xfId="0" applyNumberFormat="1" applyFont="1"/>
    <xf numFmtId="2" fontId="25" fillId="0" borderId="0" xfId="0" applyNumberFormat="1" applyFont="1"/>
    <xf numFmtId="0" fontId="6" fillId="0" borderId="0" xfId="0" applyFont="1"/>
    <xf numFmtId="0" fontId="0" fillId="27" borderId="0" xfId="0" applyFill="1"/>
    <xf numFmtId="49" fontId="6" fillId="27" borderId="17" xfId="0" applyNumberFormat="1" applyFont="1" applyFill="1" applyBorder="1" applyAlignment="1">
      <alignment horizontal="center" vertical="center"/>
    </xf>
    <xf numFmtId="49" fontId="6" fillId="27" borderId="25" xfId="0" applyNumberFormat="1" applyFont="1" applyFill="1" applyBorder="1" applyAlignment="1">
      <alignment horizontal="center" vertical="center"/>
    </xf>
    <xf numFmtId="49" fontId="5" fillId="27" borderId="25" xfId="0" applyNumberFormat="1" applyFont="1" applyFill="1" applyBorder="1" applyAlignment="1">
      <alignment horizontal="center" vertical="center"/>
    </xf>
    <xf numFmtId="49" fontId="0" fillId="27" borderId="46" xfId="0" applyNumberFormat="1" applyFill="1" applyBorder="1" applyAlignment="1">
      <alignment horizontal="center" vertical="center"/>
    </xf>
    <xf numFmtId="49" fontId="5" fillId="27" borderId="43" xfId="0" applyNumberFormat="1" applyFont="1" applyFill="1" applyBorder="1" applyAlignment="1">
      <alignment horizontal="center" vertical="center"/>
    </xf>
    <xf numFmtId="49" fontId="5" fillId="27" borderId="17" xfId="0" applyNumberFormat="1" applyFont="1" applyFill="1" applyBorder="1" applyAlignment="1">
      <alignment horizontal="center" vertical="center"/>
    </xf>
    <xf numFmtId="49" fontId="5" fillId="27" borderId="45" xfId="0" applyNumberFormat="1" applyFont="1" applyFill="1" applyBorder="1" applyAlignment="1">
      <alignment horizontal="center" vertical="center"/>
    </xf>
    <xf numFmtId="49" fontId="4" fillId="27" borderId="25" xfId="0" applyNumberFormat="1" applyFont="1" applyFill="1" applyBorder="1" applyAlignment="1">
      <alignment horizontal="center" vertical="center"/>
    </xf>
    <xf numFmtId="49" fontId="3" fillId="27" borderId="25" xfId="0" applyNumberFormat="1" applyFont="1" applyFill="1" applyBorder="1" applyAlignment="1">
      <alignment horizontal="center" vertical="center"/>
    </xf>
    <xf numFmtId="49" fontId="2" fillId="27" borderId="17" xfId="0" applyNumberFormat="1" applyFont="1" applyFill="1" applyBorder="1" applyAlignment="1">
      <alignment horizontal="center" vertical="center"/>
    </xf>
    <xf numFmtId="49" fontId="2" fillId="27" borderId="44" xfId="0" applyNumberFormat="1" applyFont="1" applyFill="1" applyBorder="1" applyAlignment="1">
      <alignment horizontal="center" vertical="center"/>
    </xf>
    <xf numFmtId="49" fontId="1" fillId="27" borderId="17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left" vertical="center"/>
    </xf>
    <xf numFmtId="0" fontId="1" fillId="0" borderId="0" xfId="0" applyFont="1"/>
    <xf numFmtId="165" fontId="25" fillId="0" borderId="0" xfId="0" applyNumberFormat="1" applyFont="1"/>
    <xf numFmtId="0" fontId="10" fillId="0" borderId="0" xfId="0" applyFont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textRotation="90"/>
    </xf>
    <xf numFmtId="0" fontId="11" fillId="3" borderId="10" xfId="0" applyFont="1" applyFill="1" applyBorder="1" applyAlignment="1">
      <alignment horizontal="center" vertical="center" textRotation="90"/>
    </xf>
    <xf numFmtId="0" fontId="11" fillId="4" borderId="3" xfId="0" applyFont="1" applyFill="1" applyBorder="1" applyAlignment="1">
      <alignment horizontal="center" vertical="center" textRotation="90"/>
    </xf>
    <xf numFmtId="0" fontId="11" fillId="4" borderId="10" xfId="0" applyFont="1" applyFill="1" applyBorder="1" applyAlignment="1">
      <alignment horizontal="center" vertical="center" textRotation="90"/>
    </xf>
    <xf numFmtId="0" fontId="11" fillId="5" borderId="3" xfId="0" applyFont="1" applyFill="1" applyBorder="1" applyAlignment="1">
      <alignment horizontal="center" vertical="center" textRotation="90"/>
    </xf>
    <xf numFmtId="0" fontId="11" fillId="5" borderId="10" xfId="0" applyFont="1" applyFill="1" applyBorder="1" applyAlignment="1">
      <alignment horizontal="center" vertical="center" textRotation="90"/>
    </xf>
    <xf numFmtId="0" fontId="22" fillId="9" borderId="16" xfId="0" applyFont="1" applyFill="1" applyBorder="1" applyAlignment="1">
      <alignment horizontal="center" vertical="center"/>
    </xf>
    <xf numFmtId="0" fontId="22" fillId="9" borderId="18" xfId="0" applyFont="1" applyFill="1" applyBorder="1" applyAlignment="1">
      <alignment horizontal="center" vertical="center"/>
    </xf>
    <xf numFmtId="0" fontId="22" fillId="9" borderId="26" xfId="0" applyFont="1" applyFill="1" applyBorder="1" applyAlignment="1">
      <alignment horizontal="center" vertical="center" wrapText="1"/>
    </xf>
    <xf numFmtId="0" fontId="22" fillId="9" borderId="27" xfId="0" applyFont="1" applyFill="1" applyBorder="1" applyAlignment="1">
      <alignment horizontal="center" vertical="center" wrapText="1"/>
    </xf>
    <xf numFmtId="0" fontId="22" fillId="9" borderId="28" xfId="0" applyFont="1" applyFill="1" applyBorder="1" applyAlignment="1">
      <alignment horizontal="center" vertical="center" wrapText="1"/>
    </xf>
    <xf numFmtId="0" fontId="22" fillId="9" borderId="32" xfId="0" applyFont="1" applyFill="1" applyBorder="1" applyAlignment="1">
      <alignment horizontal="center" vertical="center" wrapText="1"/>
    </xf>
    <xf numFmtId="0" fontId="22" fillId="9" borderId="33" xfId="0" applyFont="1" applyFill="1" applyBorder="1" applyAlignment="1">
      <alignment horizontal="center" vertical="center" wrapText="1"/>
    </xf>
    <xf numFmtId="0" fontId="22" fillId="9" borderId="34" xfId="0" applyFont="1" applyFill="1" applyBorder="1" applyAlignment="1">
      <alignment horizontal="center" vertical="center" wrapText="1"/>
    </xf>
    <xf numFmtId="0" fontId="22" fillId="9" borderId="16" xfId="0" applyFont="1" applyFill="1" applyBorder="1" applyAlignment="1">
      <alignment horizontal="left" vertical="center"/>
    </xf>
    <xf numFmtId="0" fontId="22" fillId="9" borderId="29" xfId="0" applyFont="1" applyFill="1" applyBorder="1" applyAlignment="1">
      <alignment horizontal="left" vertical="center"/>
    </xf>
    <xf numFmtId="0" fontId="22" fillId="9" borderId="18" xfId="0" applyFont="1" applyFill="1" applyBorder="1" applyAlignment="1">
      <alignment horizontal="left" vertical="center"/>
    </xf>
    <xf numFmtId="0" fontId="13" fillId="10" borderId="30" xfId="0" applyFont="1" applyFill="1" applyBorder="1" applyAlignment="1">
      <alignment horizontal="center" vertical="center"/>
    </xf>
    <xf numFmtId="0" fontId="13" fillId="10" borderId="31" xfId="0" applyFont="1" applyFill="1" applyBorder="1" applyAlignment="1">
      <alignment horizontal="center" vertical="center"/>
    </xf>
    <xf numFmtId="0" fontId="10" fillId="3" borderId="30" xfId="0" applyFont="1" applyFill="1" applyBorder="1" applyAlignment="1">
      <alignment horizontal="center" vertical="center"/>
    </xf>
    <xf numFmtId="0" fontId="10" fillId="3" borderId="31" xfId="0" applyFont="1" applyFill="1" applyBorder="1" applyAlignment="1">
      <alignment horizontal="center" vertical="center"/>
    </xf>
    <xf numFmtId="0" fontId="10" fillId="8" borderId="27" xfId="0" applyFont="1" applyFill="1" applyBorder="1" applyAlignment="1">
      <alignment horizontal="left" vertical="center"/>
    </xf>
    <xf numFmtId="0" fontId="10" fillId="8" borderId="28" xfId="0" applyFont="1" applyFill="1" applyBorder="1" applyAlignment="1">
      <alignment horizontal="left" vertical="center"/>
    </xf>
    <xf numFmtId="0" fontId="16" fillId="13" borderId="30" xfId="0" applyFont="1" applyFill="1" applyBorder="1" applyAlignment="1">
      <alignment horizontal="center" vertical="center"/>
    </xf>
    <xf numFmtId="0" fontId="16" fillId="13" borderId="31" xfId="0" applyFont="1" applyFill="1" applyBorder="1" applyAlignment="1">
      <alignment horizontal="center" vertical="center"/>
    </xf>
    <xf numFmtId="0" fontId="10" fillId="18" borderId="30" xfId="0" applyFont="1" applyFill="1" applyBorder="1" applyAlignment="1">
      <alignment horizontal="center" vertical="center"/>
    </xf>
    <xf numFmtId="0" fontId="10" fillId="18" borderId="0" xfId="0" applyFont="1" applyFill="1" applyAlignment="1">
      <alignment horizontal="center" vertical="center"/>
    </xf>
    <xf numFmtId="0" fontId="10" fillId="18" borderId="31" xfId="0" applyFont="1" applyFill="1" applyBorder="1" applyAlignment="1">
      <alignment horizontal="center" vertical="center"/>
    </xf>
    <xf numFmtId="0" fontId="13" fillId="17" borderId="30" xfId="0" applyFont="1" applyFill="1" applyBorder="1" applyAlignment="1">
      <alignment horizontal="center" vertical="center"/>
    </xf>
    <xf numFmtId="0" fontId="13" fillId="17" borderId="31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left" vertical="center"/>
    </xf>
    <xf numFmtId="0" fontId="10" fillId="8" borderId="31" xfId="0" applyFont="1" applyFill="1" applyBorder="1" applyAlignment="1">
      <alignment horizontal="left" vertical="center"/>
    </xf>
    <xf numFmtId="0" fontId="10" fillId="14" borderId="30" xfId="0" applyFont="1" applyFill="1" applyBorder="1" applyAlignment="1">
      <alignment horizontal="center" vertical="center"/>
    </xf>
    <xf numFmtId="0" fontId="10" fillId="14" borderId="31" xfId="0" applyFont="1" applyFill="1" applyBorder="1" applyAlignment="1">
      <alignment horizontal="center" vertical="center"/>
    </xf>
    <xf numFmtId="0" fontId="10" fillId="23" borderId="32" xfId="0" applyFont="1" applyFill="1" applyBorder="1" applyAlignment="1">
      <alignment horizontal="center" vertical="center"/>
    </xf>
    <xf numFmtId="0" fontId="10" fillId="23" borderId="33" xfId="0" applyFont="1" applyFill="1" applyBorder="1" applyAlignment="1">
      <alignment horizontal="center" vertical="center"/>
    </xf>
    <xf numFmtId="0" fontId="10" fillId="23" borderId="34" xfId="0" applyFont="1" applyFill="1" applyBorder="1" applyAlignment="1">
      <alignment horizontal="center" vertical="center"/>
    </xf>
    <xf numFmtId="0" fontId="13" fillId="16" borderId="30" xfId="0" applyFont="1" applyFill="1" applyBorder="1" applyAlignment="1">
      <alignment horizontal="center" vertical="center"/>
    </xf>
    <xf numFmtId="0" fontId="13" fillId="16" borderId="31" xfId="0" applyFont="1" applyFill="1" applyBorder="1" applyAlignment="1">
      <alignment horizontal="center" vertical="center"/>
    </xf>
    <xf numFmtId="0" fontId="10" fillId="22" borderId="30" xfId="0" applyFont="1" applyFill="1" applyBorder="1" applyAlignment="1">
      <alignment horizontal="center" vertical="center"/>
    </xf>
    <xf numFmtId="0" fontId="10" fillId="22" borderId="31" xfId="0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7" fillId="16" borderId="30" xfId="0" applyFont="1" applyFill="1" applyBorder="1" applyAlignment="1">
      <alignment horizontal="center" vertical="center"/>
    </xf>
    <xf numFmtId="0" fontId="17" fillId="16" borderId="31" xfId="0" applyFont="1" applyFill="1" applyBorder="1" applyAlignment="1">
      <alignment horizontal="center" vertical="center"/>
    </xf>
    <xf numFmtId="0" fontId="10" fillId="19" borderId="32" xfId="0" applyFont="1" applyFill="1" applyBorder="1" applyAlignment="1">
      <alignment horizontal="center" vertical="center"/>
    </xf>
    <xf numFmtId="0" fontId="10" fillId="19" borderId="34" xfId="0" applyFont="1" applyFill="1" applyBorder="1" applyAlignment="1">
      <alignment horizontal="center" vertical="center"/>
    </xf>
    <xf numFmtId="0" fontId="22" fillId="9" borderId="35" xfId="0" applyFont="1" applyFill="1" applyBorder="1" applyAlignment="1">
      <alignment horizontal="center" vertical="center" wrapText="1"/>
    </xf>
    <xf numFmtId="0" fontId="22" fillId="9" borderId="36" xfId="0" applyFont="1" applyFill="1" applyBorder="1" applyAlignment="1">
      <alignment horizontal="center" vertical="center" wrapText="1"/>
    </xf>
    <xf numFmtId="0" fontId="22" fillId="9" borderId="37" xfId="0" applyFont="1" applyFill="1" applyBorder="1" applyAlignment="1">
      <alignment horizontal="center" vertical="center" wrapText="1"/>
    </xf>
    <xf numFmtId="0" fontId="22" fillId="9" borderId="38" xfId="0" applyFont="1" applyFill="1" applyBorder="1" applyAlignment="1">
      <alignment horizontal="center" vertical="center" wrapText="1"/>
    </xf>
    <xf numFmtId="0" fontId="22" fillId="9" borderId="0" xfId="0" applyFont="1" applyFill="1" applyAlignment="1">
      <alignment horizontal="center" vertical="center" wrapText="1"/>
    </xf>
    <xf numFmtId="0" fontId="22" fillId="9" borderId="39" xfId="0" applyFont="1" applyFill="1" applyBorder="1" applyAlignment="1">
      <alignment horizontal="center" vertical="center" wrapText="1"/>
    </xf>
    <xf numFmtId="0" fontId="16" fillId="21" borderId="32" xfId="0" applyFont="1" applyFill="1" applyBorder="1" applyAlignment="1">
      <alignment horizontal="center" vertical="center"/>
    </xf>
    <xf numFmtId="0" fontId="16" fillId="21" borderId="34" xfId="0" applyFont="1" applyFill="1" applyBorder="1" applyAlignment="1">
      <alignment horizontal="center" vertical="center"/>
    </xf>
    <xf numFmtId="0" fontId="10" fillId="8" borderId="33" xfId="0" applyFont="1" applyFill="1" applyBorder="1" applyAlignment="1">
      <alignment horizontal="left" vertical="center"/>
    </xf>
    <xf numFmtId="0" fontId="10" fillId="8" borderId="34" xfId="0" applyFont="1" applyFill="1" applyBorder="1" applyAlignment="1">
      <alignment horizontal="left" vertical="center"/>
    </xf>
    <xf numFmtId="0" fontId="10" fillId="10" borderId="38" xfId="0" applyFont="1" applyFill="1" applyBorder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10" fillId="10" borderId="39" xfId="0" applyFont="1" applyFill="1" applyBorder="1" applyAlignment="1">
      <alignment horizontal="center" vertical="center"/>
    </xf>
    <xf numFmtId="0" fontId="10" fillId="19" borderId="40" xfId="0" applyFont="1" applyFill="1" applyBorder="1" applyAlignment="1">
      <alignment horizontal="center" vertical="center"/>
    </xf>
    <xf numFmtId="0" fontId="10" fillId="19" borderId="41" xfId="0" applyFont="1" applyFill="1" applyBorder="1" applyAlignment="1">
      <alignment horizontal="center" vertical="center"/>
    </xf>
    <xf numFmtId="0" fontId="10" fillId="19" borderId="42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8" borderId="6" xfId="0" applyFont="1" applyFill="1" applyBorder="1" applyAlignment="1">
      <alignment horizontal="center" vertical="center" textRotation="90"/>
    </xf>
    <xf numFmtId="0" fontId="11" fillId="8" borderId="13" xfId="0" applyFont="1" applyFill="1" applyBorder="1" applyAlignment="1">
      <alignment horizontal="center" vertical="center" textRotation="90"/>
    </xf>
    <xf numFmtId="0" fontId="11" fillId="8" borderId="3" xfId="0" applyFont="1" applyFill="1" applyBorder="1" applyAlignment="1">
      <alignment horizontal="center" vertical="center" textRotation="90"/>
    </xf>
    <xf numFmtId="0" fontId="11" fillId="8" borderId="10" xfId="0" applyFont="1" applyFill="1" applyBorder="1" applyAlignment="1">
      <alignment horizontal="center" vertical="center" textRotation="90"/>
    </xf>
    <xf numFmtId="0" fontId="11" fillId="7" borderId="3" xfId="0" applyFont="1" applyFill="1" applyBorder="1" applyAlignment="1">
      <alignment horizontal="center" vertical="center" textRotation="90"/>
    </xf>
    <xf numFmtId="0" fontId="11" fillId="7" borderId="10" xfId="0" applyFont="1" applyFill="1" applyBorder="1" applyAlignment="1">
      <alignment horizontal="center" vertical="center" textRotation="90"/>
    </xf>
    <xf numFmtId="0" fontId="11" fillId="6" borderId="3" xfId="0" applyFont="1" applyFill="1" applyBorder="1" applyAlignment="1">
      <alignment horizontal="center" vertical="center" textRotation="90"/>
    </xf>
    <xf numFmtId="0" fontId="11" fillId="6" borderId="10" xfId="0" applyFont="1" applyFill="1" applyBorder="1" applyAlignment="1">
      <alignment horizontal="center" vertical="center" textRotation="90"/>
    </xf>
    <xf numFmtId="0" fontId="11" fillId="8" borderId="2" xfId="0" applyFont="1" applyFill="1" applyBorder="1" applyAlignment="1">
      <alignment horizontal="center" vertical="center" textRotation="90" wrapText="1"/>
    </xf>
    <xf numFmtId="0" fontId="11" fillId="8" borderId="9" xfId="0" applyFont="1" applyFill="1" applyBorder="1" applyAlignment="1">
      <alignment horizontal="center" vertical="center" textRotation="90" wrapText="1"/>
    </xf>
    <xf numFmtId="0" fontId="11" fillId="8" borderId="4" xfId="0" applyFont="1" applyFill="1" applyBorder="1" applyAlignment="1">
      <alignment horizontal="center" vertical="center" textRotation="90"/>
    </xf>
    <xf numFmtId="0" fontId="11" fillId="8" borderId="11" xfId="0" applyFont="1" applyFill="1" applyBorder="1" applyAlignment="1">
      <alignment horizontal="center" vertical="center" textRotation="90"/>
    </xf>
    <xf numFmtId="0" fontId="12" fillId="9" borderId="5" xfId="0" applyFont="1" applyFill="1" applyBorder="1" applyAlignment="1">
      <alignment horizontal="center" vertical="center"/>
    </xf>
    <xf numFmtId="0" fontId="12" fillId="9" borderId="1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 xmlns:x14="http://schemas.microsoft.com/office/spreadsheetml/2009/9/main">
    <ext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autoTitleDeleted val="1"/>
    <c:plotArea>
      <c:layout>
        <c:manualLayout>
          <c:layoutTarget val="inner"/>
          <c:xMode val="edge"/>
          <c:yMode val="edge"/>
          <c:x val="5.7989170272634796E-2"/>
          <c:y val="4.0357192193081121E-2"/>
          <c:w val="0.91798680570334057"/>
          <c:h val="0.8956035758688059"/>
        </c:manualLayout>
      </c:layout>
      <c:lineChart>
        <c:grouping val="standard"/>
        <c:ser>
          <c:idx val="0"/>
          <c:order val="0"/>
          <c:tx>
            <c:v>v2</c:v>
          </c:tx>
          <c:marker>
            <c:symbol val="none"/>
          </c:marker>
          <c:cat>
            <c:numRef>
              <c:f>'Пересчет в алкоголь'!$B$2:$GR$2</c:f>
              <c:numCache>
                <c:formatCode>0.0</c:formatCode>
                <c:ptCount val="199"/>
                <c:pt idx="0">
                  <c:v>78.2</c:v>
                </c:pt>
                <c:pt idx="1">
                  <c:v>78.400000000000006</c:v>
                </c:pt>
                <c:pt idx="2">
                  <c:v>78.599999999999994</c:v>
                </c:pt>
                <c:pt idx="3">
                  <c:v>78.8</c:v>
                </c:pt>
                <c:pt idx="4">
                  <c:v>79</c:v>
                </c:pt>
                <c:pt idx="5">
                  <c:v>79.2</c:v>
                </c:pt>
                <c:pt idx="6">
                  <c:v>79.400000000000006</c:v>
                </c:pt>
                <c:pt idx="7">
                  <c:v>79.599999999999994</c:v>
                </c:pt>
                <c:pt idx="8">
                  <c:v>79.8</c:v>
                </c:pt>
                <c:pt idx="9">
                  <c:v>80</c:v>
                </c:pt>
                <c:pt idx="10">
                  <c:v>80.2</c:v>
                </c:pt>
                <c:pt idx="11">
                  <c:v>80.400000000000006</c:v>
                </c:pt>
                <c:pt idx="12">
                  <c:v>80.599999999999994</c:v>
                </c:pt>
                <c:pt idx="13">
                  <c:v>80.8</c:v>
                </c:pt>
                <c:pt idx="14">
                  <c:v>81</c:v>
                </c:pt>
                <c:pt idx="15">
                  <c:v>81.2</c:v>
                </c:pt>
                <c:pt idx="16">
                  <c:v>81.400000000000006</c:v>
                </c:pt>
                <c:pt idx="17">
                  <c:v>81.599999999999994</c:v>
                </c:pt>
                <c:pt idx="18">
                  <c:v>81.8</c:v>
                </c:pt>
                <c:pt idx="19">
                  <c:v>81.900000000000006</c:v>
                </c:pt>
                <c:pt idx="20">
                  <c:v>82</c:v>
                </c:pt>
                <c:pt idx="21">
                  <c:v>82.1</c:v>
                </c:pt>
                <c:pt idx="22">
                  <c:v>82.2</c:v>
                </c:pt>
                <c:pt idx="23">
                  <c:v>82.3</c:v>
                </c:pt>
                <c:pt idx="24">
                  <c:v>82.4</c:v>
                </c:pt>
                <c:pt idx="25">
                  <c:v>82.5</c:v>
                </c:pt>
                <c:pt idx="26">
                  <c:v>82.6</c:v>
                </c:pt>
                <c:pt idx="27">
                  <c:v>82.7</c:v>
                </c:pt>
                <c:pt idx="28">
                  <c:v>82.8</c:v>
                </c:pt>
                <c:pt idx="29">
                  <c:v>82.9</c:v>
                </c:pt>
                <c:pt idx="30">
                  <c:v>83</c:v>
                </c:pt>
                <c:pt idx="31">
                  <c:v>83.1</c:v>
                </c:pt>
                <c:pt idx="32">
                  <c:v>83.2</c:v>
                </c:pt>
                <c:pt idx="33">
                  <c:v>83.3</c:v>
                </c:pt>
                <c:pt idx="34">
                  <c:v>83.4</c:v>
                </c:pt>
                <c:pt idx="35">
                  <c:v>83.5</c:v>
                </c:pt>
                <c:pt idx="36">
                  <c:v>83.6</c:v>
                </c:pt>
                <c:pt idx="37">
                  <c:v>83.7</c:v>
                </c:pt>
                <c:pt idx="38">
                  <c:v>83.8</c:v>
                </c:pt>
                <c:pt idx="39">
                  <c:v>83.9</c:v>
                </c:pt>
                <c:pt idx="40">
                  <c:v>84</c:v>
                </c:pt>
                <c:pt idx="41">
                  <c:v>84.1</c:v>
                </c:pt>
                <c:pt idx="42">
                  <c:v>84.2</c:v>
                </c:pt>
                <c:pt idx="43">
                  <c:v>84.3</c:v>
                </c:pt>
                <c:pt idx="44">
                  <c:v>84.4</c:v>
                </c:pt>
                <c:pt idx="45">
                  <c:v>84.5</c:v>
                </c:pt>
                <c:pt idx="46">
                  <c:v>84.6</c:v>
                </c:pt>
                <c:pt idx="47">
                  <c:v>84.7</c:v>
                </c:pt>
                <c:pt idx="48">
                  <c:v>84.8</c:v>
                </c:pt>
                <c:pt idx="49">
                  <c:v>84.9</c:v>
                </c:pt>
                <c:pt idx="50">
                  <c:v>85</c:v>
                </c:pt>
                <c:pt idx="51">
                  <c:v>85.1</c:v>
                </c:pt>
                <c:pt idx="52">
                  <c:v>85.2</c:v>
                </c:pt>
                <c:pt idx="53">
                  <c:v>85.3</c:v>
                </c:pt>
                <c:pt idx="54">
                  <c:v>85.4</c:v>
                </c:pt>
                <c:pt idx="55">
                  <c:v>85.5</c:v>
                </c:pt>
                <c:pt idx="56">
                  <c:v>85.6</c:v>
                </c:pt>
                <c:pt idx="57">
                  <c:v>85.7</c:v>
                </c:pt>
                <c:pt idx="58">
                  <c:v>85.8</c:v>
                </c:pt>
                <c:pt idx="59">
                  <c:v>85.9</c:v>
                </c:pt>
                <c:pt idx="60">
                  <c:v>86</c:v>
                </c:pt>
                <c:pt idx="61">
                  <c:v>86.1</c:v>
                </c:pt>
                <c:pt idx="62">
                  <c:v>86.2</c:v>
                </c:pt>
                <c:pt idx="63">
                  <c:v>86.3</c:v>
                </c:pt>
                <c:pt idx="64">
                  <c:v>86.4</c:v>
                </c:pt>
                <c:pt idx="65">
                  <c:v>86.5</c:v>
                </c:pt>
                <c:pt idx="66">
                  <c:v>86.6</c:v>
                </c:pt>
                <c:pt idx="67">
                  <c:v>86.7</c:v>
                </c:pt>
                <c:pt idx="68">
                  <c:v>86.8</c:v>
                </c:pt>
                <c:pt idx="69">
                  <c:v>86.9</c:v>
                </c:pt>
                <c:pt idx="70">
                  <c:v>87</c:v>
                </c:pt>
                <c:pt idx="71">
                  <c:v>87.1</c:v>
                </c:pt>
                <c:pt idx="72">
                  <c:v>87.2</c:v>
                </c:pt>
                <c:pt idx="73">
                  <c:v>87.3</c:v>
                </c:pt>
                <c:pt idx="74">
                  <c:v>87.4</c:v>
                </c:pt>
                <c:pt idx="75">
                  <c:v>87.5</c:v>
                </c:pt>
                <c:pt idx="76">
                  <c:v>87.6</c:v>
                </c:pt>
                <c:pt idx="77">
                  <c:v>87.7</c:v>
                </c:pt>
                <c:pt idx="78">
                  <c:v>87.8</c:v>
                </c:pt>
                <c:pt idx="79">
                  <c:v>87.9</c:v>
                </c:pt>
                <c:pt idx="80">
                  <c:v>88</c:v>
                </c:pt>
                <c:pt idx="81">
                  <c:v>88.1</c:v>
                </c:pt>
                <c:pt idx="82">
                  <c:v>88.2</c:v>
                </c:pt>
                <c:pt idx="83">
                  <c:v>88.3</c:v>
                </c:pt>
                <c:pt idx="84">
                  <c:v>88.4</c:v>
                </c:pt>
                <c:pt idx="85">
                  <c:v>88.5</c:v>
                </c:pt>
                <c:pt idx="86">
                  <c:v>88.6</c:v>
                </c:pt>
                <c:pt idx="87">
                  <c:v>88.7</c:v>
                </c:pt>
                <c:pt idx="88">
                  <c:v>88.8</c:v>
                </c:pt>
                <c:pt idx="89">
                  <c:v>88.9</c:v>
                </c:pt>
                <c:pt idx="90">
                  <c:v>89</c:v>
                </c:pt>
                <c:pt idx="91">
                  <c:v>89.1</c:v>
                </c:pt>
                <c:pt idx="92">
                  <c:v>89.2</c:v>
                </c:pt>
                <c:pt idx="93">
                  <c:v>89.3</c:v>
                </c:pt>
                <c:pt idx="94">
                  <c:v>89.4</c:v>
                </c:pt>
                <c:pt idx="95">
                  <c:v>89.5</c:v>
                </c:pt>
                <c:pt idx="96">
                  <c:v>89.6</c:v>
                </c:pt>
                <c:pt idx="97">
                  <c:v>89.7</c:v>
                </c:pt>
                <c:pt idx="98">
                  <c:v>89.8</c:v>
                </c:pt>
                <c:pt idx="99">
                  <c:v>89.9</c:v>
                </c:pt>
                <c:pt idx="100">
                  <c:v>90</c:v>
                </c:pt>
                <c:pt idx="101">
                  <c:v>90.1</c:v>
                </c:pt>
                <c:pt idx="102">
                  <c:v>90.2</c:v>
                </c:pt>
                <c:pt idx="103">
                  <c:v>90.3</c:v>
                </c:pt>
                <c:pt idx="104">
                  <c:v>90.4</c:v>
                </c:pt>
                <c:pt idx="105">
                  <c:v>90.5</c:v>
                </c:pt>
                <c:pt idx="106">
                  <c:v>90.6</c:v>
                </c:pt>
                <c:pt idx="107">
                  <c:v>90.7</c:v>
                </c:pt>
                <c:pt idx="108">
                  <c:v>90.8</c:v>
                </c:pt>
                <c:pt idx="109">
                  <c:v>90.9</c:v>
                </c:pt>
                <c:pt idx="110">
                  <c:v>91</c:v>
                </c:pt>
                <c:pt idx="111">
                  <c:v>91.1</c:v>
                </c:pt>
                <c:pt idx="112">
                  <c:v>91.2</c:v>
                </c:pt>
                <c:pt idx="113">
                  <c:v>91.3</c:v>
                </c:pt>
                <c:pt idx="114">
                  <c:v>91.4</c:v>
                </c:pt>
                <c:pt idx="115">
                  <c:v>91.5</c:v>
                </c:pt>
                <c:pt idx="116">
                  <c:v>91.6</c:v>
                </c:pt>
                <c:pt idx="117">
                  <c:v>91.7</c:v>
                </c:pt>
                <c:pt idx="118">
                  <c:v>91.8</c:v>
                </c:pt>
                <c:pt idx="119">
                  <c:v>91.9</c:v>
                </c:pt>
                <c:pt idx="120">
                  <c:v>92</c:v>
                </c:pt>
                <c:pt idx="121">
                  <c:v>92.1</c:v>
                </c:pt>
                <c:pt idx="122">
                  <c:v>92.2</c:v>
                </c:pt>
                <c:pt idx="123">
                  <c:v>92.3</c:v>
                </c:pt>
                <c:pt idx="124">
                  <c:v>92.4</c:v>
                </c:pt>
                <c:pt idx="125">
                  <c:v>92.5</c:v>
                </c:pt>
                <c:pt idx="126">
                  <c:v>92.6</c:v>
                </c:pt>
                <c:pt idx="127">
                  <c:v>92.7</c:v>
                </c:pt>
                <c:pt idx="128">
                  <c:v>92.8</c:v>
                </c:pt>
                <c:pt idx="129">
                  <c:v>92.9</c:v>
                </c:pt>
                <c:pt idx="130">
                  <c:v>93</c:v>
                </c:pt>
                <c:pt idx="131">
                  <c:v>93.1</c:v>
                </c:pt>
                <c:pt idx="132">
                  <c:v>93.2</c:v>
                </c:pt>
                <c:pt idx="133">
                  <c:v>93.3</c:v>
                </c:pt>
                <c:pt idx="134">
                  <c:v>93.4</c:v>
                </c:pt>
                <c:pt idx="135">
                  <c:v>93.5</c:v>
                </c:pt>
                <c:pt idx="136">
                  <c:v>93.6</c:v>
                </c:pt>
                <c:pt idx="137">
                  <c:v>93.7</c:v>
                </c:pt>
                <c:pt idx="138">
                  <c:v>93.8</c:v>
                </c:pt>
                <c:pt idx="139">
                  <c:v>93.9</c:v>
                </c:pt>
                <c:pt idx="140">
                  <c:v>94</c:v>
                </c:pt>
                <c:pt idx="141">
                  <c:v>94.1</c:v>
                </c:pt>
                <c:pt idx="142">
                  <c:v>94.2</c:v>
                </c:pt>
                <c:pt idx="143">
                  <c:v>94.3</c:v>
                </c:pt>
                <c:pt idx="144">
                  <c:v>94.4</c:v>
                </c:pt>
                <c:pt idx="145">
                  <c:v>94.5</c:v>
                </c:pt>
                <c:pt idx="146">
                  <c:v>94.6</c:v>
                </c:pt>
                <c:pt idx="147">
                  <c:v>94.7</c:v>
                </c:pt>
                <c:pt idx="148">
                  <c:v>94.8</c:v>
                </c:pt>
                <c:pt idx="149">
                  <c:v>94.9</c:v>
                </c:pt>
                <c:pt idx="150">
                  <c:v>95</c:v>
                </c:pt>
                <c:pt idx="151">
                  <c:v>95.1</c:v>
                </c:pt>
                <c:pt idx="152">
                  <c:v>95.2</c:v>
                </c:pt>
                <c:pt idx="153">
                  <c:v>95.3</c:v>
                </c:pt>
                <c:pt idx="154">
                  <c:v>95.4</c:v>
                </c:pt>
                <c:pt idx="155">
                  <c:v>95.5</c:v>
                </c:pt>
                <c:pt idx="156">
                  <c:v>95.6</c:v>
                </c:pt>
                <c:pt idx="157">
                  <c:v>95.7</c:v>
                </c:pt>
                <c:pt idx="158">
                  <c:v>95.8</c:v>
                </c:pt>
                <c:pt idx="159">
                  <c:v>95.9</c:v>
                </c:pt>
                <c:pt idx="160">
                  <c:v>96</c:v>
                </c:pt>
                <c:pt idx="161">
                  <c:v>96.1</c:v>
                </c:pt>
                <c:pt idx="162">
                  <c:v>96.2</c:v>
                </c:pt>
                <c:pt idx="163">
                  <c:v>96.3</c:v>
                </c:pt>
                <c:pt idx="164">
                  <c:v>96.4</c:v>
                </c:pt>
                <c:pt idx="165">
                  <c:v>96.5</c:v>
                </c:pt>
                <c:pt idx="166">
                  <c:v>96.6</c:v>
                </c:pt>
                <c:pt idx="167">
                  <c:v>96.7</c:v>
                </c:pt>
                <c:pt idx="168">
                  <c:v>96.8</c:v>
                </c:pt>
                <c:pt idx="169">
                  <c:v>96.9</c:v>
                </c:pt>
                <c:pt idx="170">
                  <c:v>97</c:v>
                </c:pt>
                <c:pt idx="171">
                  <c:v>97.1</c:v>
                </c:pt>
                <c:pt idx="172">
                  <c:v>97.2</c:v>
                </c:pt>
                <c:pt idx="173">
                  <c:v>97.3</c:v>
                </c:pt>
                <c:pt idx="174">
                  <c:v>97.4</c:v>
                </c:pt>
                <c:pt idx="175">
                  <c:v>97.5</c:v>
                </c:pt>
                <c:pt idx="176">
                  <c:v>97.6</c:v>
                </c:pt>
                <c:pt idx="177">
                  <c:v>97.7</c:v>
                </c:pt>
                <c:pt idx="178">
                  <c:v>97.8</c:v>
                </c:pt>
                <c:pt idx="179">
                  <c:v>97.9</c:v>
                </c:pt>
                <c:pt idx="180">
                  <c:v>98</c:v>
                </c:pt>
                <c:pt idx="181">
                  <c:v>98.1</c:v>
                </c:pt>
                <c:pt idx="182">
                  <c:v>98.2</c:v>
                </c:pt>
                <c:pt idx="183">
                  <c:v>98.3</c:v>
                </c:pt>
                <c:pt idx="184">
                  <c:v>98.4</c:v>
                </c:pt>
                <c:pt idx="185">
                  <c:v>98.5</c:v>
                </c:pt>
                <c:pt idx="186">
                  <c:v>98.6</c:v>
                </c:pt>
                <c:pt idx="187">
                  <c:v>98.7</c:v>
                </c:pt>
                <c:pt idx="188">
                  <c:v>98.8</c:v>
                </c:pt>
                <c:pt idx="189">
                  <c:v>98.9</c:v>
                </c:pt>
                <c:pt idx="190">
                  <c:v>99</c:v>
                </c:pt>
                <c:pt idx="191">
                  <c:v>99.1</c:v>
                </c:pt>
                <c:pt idx="192">
                  <c:v>99.2</c:v>
                </c:pt>
                <c:pt idx="193">
                  <c:v>99.3</c:v>
                </c:pt>
                <c:pt idx="194">
                  <c:v>99.4</c:v>
                </c:pt>
                <c:pt idx="195">
                  <c:v>99.5</c:v>
                </c:pt>
                <c:pt idx="196">
                  <c:v>99.6</c:v>
                </c:pt>
                <c:pt idx="197">
                  <c:v>99.7</c:v>
                </c:pt>
                <c:pt idx="198">
                  <c:v>100</c:v>
                </c:pt>
              </c:numCache>
            </c:numRef>
          </c:cat>
          <c:val>
            <c:numRef>
              <c:f>'Пересчет в алкоголь'!$B$4:$GR$4</c:f>
              <c:numCache>
                <c:formatCode>0.00</c:formatCode>
                <c:ptCount val="199"/>
                <c:pt idx="0">
                  <c:v>96.88</c:v>
                </c:pt>
                <c:pt idx="1">
                  <c:v>95.13</c:v>
                </c:pt>
                <c:pt idx="2">
                  <c:v>93.66</c:v>
                </c:pt>
                <c:pt idx="3">
                  <c:v>92.74</c:v>
                </c:pt>
                <c:pt idx="4">
                  <c:v>91.81</c:v>
                </c:pt>
                <c:pt idx="5">
                  <c:v>90.87</c:v>
                </c:pt>
                <c:pt idx="6">
                  <c:v>89.81</c:v>
                </c:pt>
                <c:pt idx="7">
                  <c:v>88.87</c:v>
                </c:pt>
                <c:pt idx="8">
                  <c:v>87.93</c:v>
                </c:pt>
                <c:pt idx="9">
                  <c:v>87.26</c:v>
                </c:pt>
                <c:pt idx="10">
                  <c:v>86.61</c:v>
                </c:pt>
                <c:pt idx="11">
                  <c:v>86.04</c:v>
                </c:pt>
                <c:pt idx="12">
                  <c:v>85.62</c:v>
                </c:pt>
                <c:pt idx="13">
                  <c:v>85.23</c:v>
                </c:pt>
                <c:pt idx="14">
                  <c:v>84.79</c:v>
                </c:pt>
                <c:pt idx="15">
                  <c:v>84.36</c:v>
                </c:pt>
                <c:pt idx="16">
                  <c:v>83.91</c:v>
                </c:pt>
                <c:pt idx="17">
                  <c:v>83.44</c:v>
                </c:pt>
                <c:pt idx="18">
                  <c:v>82.93</c:v>
                </c:pt>
                <c:pt idx="19">
                  <c:v>82.64</c:v>
                </c:pt>
                <c:pt idx="20">
                  <c:v>82.36</c:v>
                </c:pt>
                <c:pt idx="21">
                  <c:v>82.13</c:v>
                </c:pt>
                <c:pt idx="22">
                  <c:v>81.89</c:v>
                </c:pt>
                <c:pt idx="23">
                  <c:v>81.67</c:v>
                </c:pt>
                <c:pt idx="24">
                  <c:v>81.5</c:v>
                </c:pt>
                <c:pt idx="25">
                  <c:v>81.28</c:v>
                </c:pt>
                <c:pt idx="26">
                  <c:v>81.09</c:v>
                </c:pt>
                <c:pt idx="27">
                  <c:v>80.97</c:v>
                </c:pt>
                <c:pt idx="28">
                  <c:v>80.81</c:v>
                </c:pt>
                <c:pt idx="29">
                  <c:v>80.540000000000006</c:v>
                </c:pt>
                <c:pt idx="30">
                  <c:v>80.37</c:v>
                </c:pt>
                <c:pt idx="31">
                  <c:v>80.23</c:v>
                </c:pt>
                <c:pt idx="32">
                  <c:v>80.069999999999993</c:v>
                </c:pt>
                <c:pt idx="33">
                  <c:v>79.930000000000007</c:v>
                </c:pt>
                <c:pt idx="34">
                  <c:v>79.78</c:v>
                </c:pt>
                <c:pt idx="35">
                  <c:v>79.63</c:v>
                </c:pt>
                <c:pt idx="36">
                  <c:v>79.510000000000005</c:v>
                </c:pt>
                <c:pt idx="37">
                  <c:v>79.38</c:v>
                </c:pt>
                <c:pt idx="38">
                  <c:v>79.209999999999994</c:v>
                </c:pt>
                <c:pt idx="39">
                  <c:v>79.040000000000006</c:v>
                </c:pt>
                <c:pt idx="40">
                  <c:v>78.87</c:v>
                </c:pt>
                <c:pt idx="41">
                  <c:v>78.72</c:v>
                </c:pt>
                <c:pt idx="42">
                  <c:v>78.47</c:v>
                </c:pt>
                <c:pt idx="43">
                  <c:v>78.290000000000006</c:v>
                </c:pt>
                <c:pt idx="44">
                  <c:v>78.12</c:v>
                </c:pt>
                <c:pt idx="45">
                  <c:v>77.97</c:v>
                </c:pt>
                <c:pt idx="46">
                  <c:v>77.8</c:v>
                </c:pt>
                <c:pt idx="47">
                  <c:v>77.61</c:v>
                </c:pt>
                <c:pt idx="48">
                  <c:v>77.39</c:v>
                </c:pt>
                <c:pt idx="49">
                  <c:v>77.16</c:v>
                </c:pt>
                <c:pt idx="50">
                  <c:v>76.94</c:v>
                </c:pt>
                <c:pt idx="51">
                  <c:v>76.709999999999994</c:v>
                </c:pt>
                <c:pt idx="52">
                  <c:v>76.44</c:v>
                </c:pt>
                <c:pt idx="53">
                  <c:v>76.17</c:v>
                </c:pt>
                <c:pt idx="54">
                  <c:v>75.92</c:v>
                </c:pt>
                <c:pt idx="55">
                  <c:v>75.680000000000007</c:v>
                </c:pt>
                <c:pt idx="56">
                  <c:v>75.41</c:v>
                </c:pt>
                <c:pt idx="57">
                  <c:v>75.17</c:v>
                </c:pt>
                <c:pt idx="58">
                  <c:v>74.89</c:v>
                </c:pt>
                <c:pt idx="59">
                  <c:v>74.599999999999994</c:v>
                </c:pt>
                <c:pt idx="60">
                  <c:v>74.34</c:v>
                </c:pt>
                <c:pt idx="61">
                  <c:v>74.069999999999993</c:v>
                </c:pt>
                <c:pt idx="62">
                  <c:v>73.790000000000006</c:v>
                </c:pt>
                <c:pt idx="63">
                  <c:v>73.52</c:v>
                </c:pt>
                <c:pt idx="64">
                  <c:v>73.25</c:v>
                </c:pt>
                <c:pt idx="65">
                  <c:v>72.97</c:v>
                </c:pt>
                <c:pt idx="66">
                  <c:v>72.7</c:v>
                </c:pt>
                <c:pt idx="67">
                  <c:v>72.45</c:v>
                </c:pt>
                <c:pt idx="68">
                  <c:v>72.19</c:v>
                </c:pt>
                <c:pt idx="69">
                  <c:v>71.930000000000007</c:v>
                </c:pt>
                <c:pt idx="70">
                  <c:v>71.680000000000007</c:v>
                </c:pt>
                <c:pt idx="71">
                  <c:v>71.41</c:v>
                </c:pt>
                <c:pt idx="72">
                  <c:v>71.16</c:v>
                </c:pt>
                <c:pt idx="73">
                  <c:v>70.88</c:v>
                </c:pt>
                <c:pt idx="74">
                  <c:v>70.63</c:v>
                </c:pt>
                <c:pt idx="75">
                  <c:v>70.349999999999994</c:v>
                </c:pt>
                <c:pt idx="76">
                  <c:v>70.05</c:v>
                </c:pt>
                <c:pt idx="77">
                  <c:v>69.73</c:v>
                </c:pt>
                <c:pt idx="78">
                  <c:v>69.430000000000007</c:v>
                </c:pt>
                <c:pt idx="79">
                  <c:v>69.14</c:v>
                </c:pt>
                <c:pt idx="80">
                  <c:v>68.88</c:v>
                </c:pt>
                <c:pt idx="81">
                  <c:v>68.59</c:v>
                </c:pt>
                <c:pt idx="82">
                  <c:v>68.31</c:v>
                </c:pt>
                <c:pt idx="83">
                  <c:v>68.02</c:v>
                </c:pt>
                <c:pt idx="84">
                  <c:v>67.69</c:v>
                </c:pt>
                <c:pt idx="85">
                  <c:v>67.37</c:v>
                </c:pt>
                <c:pt idx="86">
                  <c:v>67.09</c:v>
                </c:pt>
                <c:pt idx="87">
                  <c:v>66.819999999999993</c:v>
                </c:pt>
                <c:pt idx="88">
                  <c:v>66.540000000000006</c:v>
                </c:pt>
                <c:pt idx="89">
                  <c:v>66.260000000000005</c:v>
                </c:pt>
                <c:pt idx="90">
                  <c:v>65.98</c:v>
                </c:pt>
                <c:pt idx="91">
                  <c:v>65.709999999999994</c:v>
                </c:pt>
                <c:pt idx="92">
                  <c:v>65.44</c:v>
                </c:pt>
                <c:pt idx="93">
                  <c:v>65.13</c:v>
                </c:pt>
                <c:pt idx="94">
                  <c:v>64.86</c:v>
                </c:pt>
                <c:pt idx="95">
                  <c:v>64.489999999999995</c:v>
                </c:pt>
                <c:pt idx="96">
                  <c:v>64.13</c:v>
                </c:pt>
                <c:pt idx="97">
                  <c:v>63.77</c:v>
                </c:pt>
                <c:pt idx="98">
                  <c:v>63.39</c:v>
                </c:pt>
                <c:pt idx="99">
                  <c:v>63.01</c:v>
                </c:pt>
                <c:pt idx="100">
                  <c:v>62.67</c:v>
                </c:pt>
                <c:pt idx="101">
                  <c:v>62.33</c:v>
                </c:pt>
                <c:pt idx="102">
                  <c:v>62.03</c:v>
                </c:pt>
                <c:pt idx="103">
                  <c:v>61.68</c:v>
                </c:pt>
                <c:pt idx="104">
                  <c:v>61.32</c:v>
                </c:pt>
                <c:pt idx="105">
                  <c:v>60.97</c:v>
                </c:pt>
                <c:pt idx="106">
                  <c:v>60.65</c:v>
                </c:pt>
                <c:pt idx="107">
                  <c:v>60.28</c:v>
                </c:pt>
                <c:pt idx="108">
                  <c:v>59.96</c:v>
                </c:pt>
                <c:pt idx="109">
                  <c:v>59.58</c:v>
                </c:pt>
                <c:pt idx="110">
                  <c:v>59.22</c:v>
                </c:pt>
                <c:pt idx="111">
                  <c:v>58.89</c:v>
                </c:pt>
                <c:pt idx="112">
                  <c:v>58.58</c:v>
                </c:pt>
                <c:pt idx="113">
                  <c:v>58.22</c:v>
                </c:pt>
                <c:pt idx="114">
                  <c:v>57.91</c:v>
                </c:pt>
                <c:pt idx="115">
                  <c:v>57.58</c:v>
                </c:pt>
                <c:pt idx="116">
                  <c:v>57.27</c:v>
                </c:pt>
                <c:pt idx="117">
                  <c:v>56.9</c:v>
                </c:pt>
                <c:pt idx="118">
                  <c:v>56.57</c:v>
                </c:pt>
                <c:pt idx="119">
                  <c:v>56.27</c:v>
                </c:pt>
                <c:pt idx="120">
                  <c:v>55.95</c:v>
                </c:pt>
                <c:pt idx="121">
                  <c:v>55.6</c:v>
                </c:pt>
                <c:pt idx="122">
                  <c:v>55.27</c:v>
                </c:pt>
                <c:pt idx="123">
                  <c:v>55</c:v>
                </c:pt>
                <c:pt idx="124">
                  <c:v>54.65</c:v>
                </c:pt>
                <c:pt idx="125">
                  <c:v>54.31</c:v>
                </c:pt>
                <c:pt idx="126">
                  <c:v>53.97</c:v>
                </c:pt>
                <c:pt idx="127">
                  <c:v>53.66</c:v>
                </c:pt>
                <c:pt idx="128">
                  <c:v>53.17</c:v>
                </c:pt>
                <c:pt idx="129">
                  <c:v>52.87</c:v>
                </c:pt>
                <c:pt idx="130">
                  <c:v>52.65</c:v>
                </c:pt>
                <c:pt idx="131">
                  <c:v>52.32</c:v>
                </c:pt>
                <c:pt idx="132">
                  <c:v>52</c:v>
                </c:pt>
                <c:pt idx="133">
                  <c:v>51.76</c:v>
                </c:pt>
                <c:pt idx="134">
                  <c:v>51.42</c:v>
                </c:pt>
                <c:pt idx="135">
                  <c:v>51.06</c:v>
                </c:pt>
                <c:pt idx="136">
                  <c:v>50.7</c:v>
                </c:pt>
                <c:pt idx="137">
                  <c:v>50.34</c:v>
                </c:pt>
                <c:pt idx="138">
                  <c:v>49.98</c:v>
                </c:pt>
                <c:pt idx="139">
                  <c:v>49.7</c:v>
                </c:pt>
                <c:pt idx="140">
                  <c:v>49.31</c:v>
                </c:pt>
                <c:pt idx="141">
                  <c:v>49</c:v>
                </c:pt>
                <c:pt idx="142">
                  <c:v>48.48</c:v>
                </c:pt>
                <c:pt idx="143">
                  <c:v>48.18</c:v>
                </c:pt>
                <c:pt idx="144">
                  <c:v>47.65</c:v>
                </c:pt>
                <c:pt idx="145">
                  <c:v>47.15</c:v>
                </c:pt>
                <c:pt idx="146">
                  <c:v>46.75</c:v>
                </c:pt>
                <c:pt idx="147">
                  <c:v>46.33</c:v>
                </c:pt>
                <c:pt idx="148">
                  <c:v>45.88</c:v>
                </c:pt>
                <c:pt idx="149">
                  <c:v>45.54</c:v>
                </c:pt>
                <c:pt idx="150">
                  <c:v>45.27</c:v>
                </c:pt>
                <c:pt idx="151">
                  <c:v>44.78</c:v>
                </c:pt>
                <c:pt idx="152">
                  <c:v>44.42</c:v>
                </c:pt>
                <c:pt idx="153">
                  <c:v>43.93</c:v>
                </c:pt>
                <c:pt idx="154">
                  <c:v>43.45</c:v>
                </c:pt>
                <c:pt idx="155">
                  <c:v>42.96</c:v>
                </c:pt>
                <c:pt idx="156">
                  <c:v>42.46</c:v>
                </c:pt>
                <c:pt idx="157">
                  <c:v>41.95</c:v>
                </c:pt>
                <c:pt idx="158">
                  <c:v>41.43</c:v>
                </c:pt>
                <c:pt idx="159">
                  <c:v>41.04</c:v>
                </c:pt>
                <c:pt idx="160">
                  <c:v>40.520000000000003</c:v>
                </c:pt>
                <c:pt idx="161">
                  <c:v>40</c:v>
                </c:pt>
                <c:pt idx="162">
                  <c:v>39.46</c:v>
                </c:pt>
                <c:pt idx="163">
                  <c:v>38.92</c:v>
                </c:pt>
                <c:pt idx="164">
                  <c:v>38.36</c:v>
                </c:pt>
                <c:pt idx="165">
                  <c:v>37.76</c:v>
                </c:pt>
                <c:pt idx="166">
                  <c:v>37.24</c:v>
                </c:pt>
                <c:pt idx="167">
                  <c:v>36.81</c:v>
                </c:pt>
                <c:pt idx="168">
                  <c:v>36.229999999999997</c:v>
                </c:pt>
                <c:pt idx="169">
                  <c:v>35.65</c:v>
                </c:pt>
                <c:pt idx="170">
                  <c:v>35.07</c:v>
                </c:pt>
                <c:pt idx="171">
                  <c:v>34.44</c:v>
                </c:pt>
                <c:pt idx="172">
                  <c:v>33.950000000000003</c:v>
                </c:pt>
                <c:pt idx="173">
                  <c:v>33.29</c:v>
                </c:pt>
                <c:pt idx="174">
                  <c:v>32.630000000000003</c:v>
                </c:pt>
                <c:pt idx="175">
                  <c:v>31.96</c:v>
                </c:pt>
                <c:pt idx="176">
                  <c:v>31.29</c:v>
                </c:pt>
                <c:pt idx="177">
                  <c:v>30.61</c:v>
                </c:pt>
                <c:pt idx="178">
                  <c:v>29.91</c:v>
                </c:pt>
                <c:pt idx="179">
                  <c:v>29.18</c:v>
                </c:pt>
                <c:pt idx="180">
                  <c:v>28.55</c:v>
                </c:pt>
                <c:pt idx="181">
                  <c:v>27.68</c:v>
                </c:pt>
                <c:pt idx="182">
                  <c:v>26.88</c:v>
                </c:pt>
                <c:pt idx="183">
                  <c:v>25.78</c:v>
                </c:pt>
                <c:pt idx="184">
                  <c:v>24.52</c:v>
                </c:pt>
                <c:pt idx="185">
                  <c:v>23.45</c:v>
                </c:pt>
                <c:pt idx="186">
                  <c:v>22.25</c:v>
                </c:pt>
                <c:pt idx="187">
                  <c:v>20.67</c:v>
                </c:pt>
                <c:pt idx="188">
                  <c:v>19.329999999999998</c:v>
                </c:pt>
                <c:pt idx="189">
                  <c:v>17.920000000000002</c:v>
                </c:pt>
                <c:pt idx="190">
                  <c:v>16.47</c:v>
                </c:pt>
                <c:pt idx="191">
                  <c:v>14.7</c:v>
                </c:pt>
                <c:pt idx="192">
                  <c:v>13.16</c:v>
                </c:pt>
                <c:pt idx="193">
                  <c:v>11.66</c:v>
                </c:pt>
                <c:pt idx="194">
                  <c:v>10.14</c:v>
                </c:pt>
                <c:pt idx="195">
                  <c:v>8.7799999999999994</c:v>
                </c:pt>
                <c:pt idx="196">
                  <c:v>6.88</c:v>
                </c:pt>
                <c:pt idx="197">
                  <c:v>3.98</c:v>
                </c:pt>
                <c:pt idx="198">
                  <c:v>0</c:v>
                </c:pt>
              </c:numCache>
            </c:numRef>
          </c:val>
        </c:ser>
        <c:marker val="1"/>
        <c:axId val="125369344"/>
        <c:axId val="125182720"/>
      </c:lineChart>
      <c:catAx>
        <c:axId val="125369344"/>
        <c:scaling>
          <c:orientation val="minMax"/>
        </c:scaling>
        <c:axPos val="b"/>
        <c:numFmt formatCode="0.0" sourceLinked="1"/>
        <c:tickLblPos val="nextTo"/>
        <c:crossAx val="125182720"/>
        <c:crosses val="autoZero"/>
        <c:auto val="1"/>
        <c:lblAlgn val="ctr"/>
        <c:lblOffset val="100"/>
      </c:catAx>
      <c:valAx>
        <c:axId val="125182720"/>
        <c:scaling>
          <c:orientation val="minMax"/>
        </c:scaling>
        <c:axPos val="l"/>
        <c:majorGridlines/>
        <c:numFmt formatCode="0.00" sourceLinked="1"/>
        <c:tickLblPos val="nextTo"/>
        <c:crossAx val="125369344"/>
        <c:crosses val="autoZero"/>
        <c:crossBetween val="between"/>
      </c:valAx>
    </c:plotArea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66673</xdr:colOff>
      <xdr:row>4</xdr:row>
      <xdr:rowOff>41259</xdr:rowOff>
    </xdr:from>
    <xdr:to>
      <xdr:col>10</xdr:col>
      <xdr:colOff>1771650</xdr:colOff>
      <xdr:row>22</xdr:row>
      <xdr:rowOff>132363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/>
      </xdr:blipFill>
      <xdr:spPr bwMode="auto">
        <a:xfrm>
          <a:off x="6086474" y="2070084"/>
          <a:ext cx="1704976" cy="3005754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66673</xdr:colOff>
      <xdr:row>4</xdr:row>
      <xdr:rowOff>41259</xdr:rowOff>
    </xdr:from>
    <xdr:to>
      <xdr:col>10</xdr:col>
      <xdr:colOff>1771650</xdr:colOff>
      <xdr:row>22</xdr:row>
      <xdr:rowOff>132363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/>
      </xdr:blipFill>
      <xdr:spPr bwMode="auto">
        <a:xfrm>
          <a:off x="4686298" y="936609"/>
          <a:ext cx="1704977" cy="3005754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25</xdr:col>
      <xdr:colOff>238125</xdr:colOff>
      <xdr:row>38</xdr:row>
      <xdr:rowOff>1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9"/>
  <dimension ref="B1:T36"/>
  <sheetViews>
    <sheetView showGridLines="0" workbookViewId="0">
      <selection activeCell="B9" sqref="B9"/>
    </sheetView>
  </sheetViews>
  <sheetFormatPr defaultRowHeight="12.75"/>
  <cols>
    <col min="1" max="1" width="2.7109375" style="1" customWidth="1"/>
    <col min="2" max="2" width="30.85546875" style="1" customWidth="1"/>
    <col min="3" max="3" width="10.7109375" style="1" customWidth="1"/>
    <col min="4" max="8" width="3" style="1" customWidth="1"/>
    <col min="9" max="9" width="6.7109375" style="1" customWidth="1"/>
    <col min="10" max="10" width="3.28515625" style="1" customWidth="1"/>
    <col min="11" max="11" width="27.28515625" style="1" bestFit="1" customWidth="1"/>
    <col min="12" max="12" width="3.28515625" style="1" customWidth="1"/>
    <col min="13" max="13" width="6.7109375" style="1" customWidth="1"/>
    <col min="14" max="18" width="3" style="1" customWidth="1"/>
    <col min="19" max="19" width="10.7109375" style="1" customWidth="1"/>
    <col min="20" max="20" width="30.85546875" style="1" customWidth="1"/>
    <col min="21" max="21" width="2.42578125" style="1" customWidth="1"/>
    <col min="22" max="16384" width="9.140625" style="1"/>
  </cols>
  <sheetData>
    <row r="1" spans="2:20" ht="12.75" customHeight="1" thickBot="1"/>
    <row r="2" spans="2:20" s="2" customFormat="1" ht="23.25" customHeight="1">
      <c r="B2" s="194" t="s">
        <v>0</v>
      </c>
      <c r="C2" s="113" t="s">
        <v>1</v>
      </c>
      <c r="D2" s="115" t="s">
        <v>2</v>
      </c>
      <c r="E2" s="117" t="s">
        <v>3</v>
      </c>
      <c r="F2" s="119" t="s">
        <v>4</v>
      </c>
      <c r="G2" s="186" t="s">
        <v>5</v>
      </c>
      <c r="H2" s="184" t="s">
        <v>6</v>
      </c>
      <c r="I2" s="188" t="s">
        <v>7</v>
      </c>
      <c r="J2" s="190" t="s">
        <v>8</v>
      </c>
      <c r="K2" s="192" t="s">
        <v>9</v>
      </c>
      <c r="L2" s="180" t="s">
        <v>8</v>
      </c>
      <c r="M2" s="182" t="s">
        <v>7</v>
      </c>
      <c r="N2" s="184" t="s">
        <v>6</v>
      </c>
      <c r="O2" s="186" t="s">
        <v>5</v>
      </c>
      <c r="P2" s="119" t="s">
        <v>4</v>
      </c>
      <c r="Q2" s="117" t="s">
        <v>3</v>
      </c>
      <c r="R2" s="115" t="s">
        <v>2</v>
      </c>
      <c r="S2" s="113" t="s">
        <v>1</v>
      </c>
      <c r="T2" s="177" t="s">
        <v>0</v>
      </c>
    </row>
    <row r="3" spans="2:20" s="2" customFormat="1" ht="21.75" customHeight="1" thickBot="1">
      <c r="B3" s="195"/>
      <c r="C3" s="114"/>
      <c r="D3" s="116"/>
      <c r="E3" s="118"/>
      <c r="F3" s="120"/>
      <c r="G3" s="187"/>
      <c r="H3" s="185"/>
      <c r="I3" s="189"/>
      <c r="J3" s="191"/>
      <c r="K3" s="193"/>
      <c r="L3" s="181"/>
      <c r="M3" s="183"/>
      <c r="N3" s="185"/>
      <c r="O3" s="187"/>
      <c r="P3" s="120"/>
      <c r="Q3" s="118"/>
      <c r="R3" s="116"/>
      <c r="S3" s="114"/>
      <c r="T3" s="178"/>
    </row>
    <row r="4" spans="2:20" ht="12.75" customHeight="1" thickBot="1"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</row>
    <row r="5" spans="2:20">
      <c r="B5" s="3" t="s">
        <v>10</v>
      </c>
      <c r="C5" s="3"/>
      <c r="D5" s="3"/>
      <c r="E5" s="3"/>
      <c r="F5" s="3"/>
      <c r="G5" s="3"/>
      <c r="H5" s="4"/>
      <c r="I5" s="5" t="s">
        <v>11</v>
      </c>
      <c r="J5" s="6">
        <v>2</v>
      </c>
      <c r="K5" s="7"/>
      <c r="L5" s="8">
        <v>38</v>
      </c>
      <c r="M5" s="9" t="s">
        <v>12</v>
      </c>
      <c r="N5" s="10"/>
      <c r="O5" s="11"/>
      <c r="P5" s="11"/>
      <c r="Q5" s="11"/>
      <c r="R5" s="11"/>
      <c r="S5" s="11"/>
      <c r="T5" s="12" t="s">
        <v>13</v>
      </c>
    </row>
    <row r="6" spans="2:20">
      <c r="B6" s="13" t="s">
        <v>14</v>
      </c>
      <c r="C6" s="13"/>
      <c r="D6" s="14" t="s">
        <v>15</v>
      </c>
      <c r="E6" s="14" t="s">
        <v>15</v>
      </c>
      <c r="F6" s="15" t="s">
        <v>16</v>
      </c>
      <c r="G6" s="14" t="s">
        <v>15</v>
      </c>
      <c r="H6" s="16" t="s">
        <v>15</v>
      </c>
      <c r="I6" s="17" t="s">
        <v>17</v>
      </c>
      <c r="J6" s="18">
        <v>3</v>
      </c>
      <c r="K6" s="19"/>
      <c r="L6" s="20">
        <v>37</v>
      </c>
      <c r="M6" s="21" t="s">
        <v>18</v>
      </c>
      <c r="N6" s="22" t="s">
        <v>15</v>
      </c>
      <c r="O6" s="23" t="s">
        <v>19</v>
      </c>
      <c r="P6" s="23" t="s">
        <v>19</v>
      </c>
      <c r="Q6" s="23" t="s">
        <v>19</v>
      </c>
      <c r="R6" s="23" t="s">
        <v>19</v>
      </c>
      <c r="S6" s="24" t="s">
        <v>20</v>
      </c>
      <c r="T6" s="88" t="s">
        <v>113</v>
      </c>
    </row>
    <row r="7" spans="2:20">
      <c r="B7" s="81"/>
      <c r="C7" s="25"/>
      <c r="D7" s="23" t="s">
        <v>19</v>
      </c>
      <c r="E7" s="26" t="s">
        <v>15</v>
      </c>
      <c r="F7" s="26" t="s">
        <v>15</v>
      </c>
      <c r="G7" s="23" t="s">
        <v>19</v>
      </c>
      <c r="H7" s="27">
        <v>0</v>
      </c>
      <c r="I7" s="28" t="s">
        <v>21</v>
      </c>
      <c r="J7" s="29">
        <v>4</v>
      </c>
      <c r="K7" s="19"/>
      <c r="L7" s="20">
        <v>36</v>
      </c>
      <c r="M7" s="21" t="s">
        <v>22</v>
      </c>
      <c r="N7" s="22" t="s">
        <v>15</v>
      </c>
      <c r="O7" s="23" t="s">
        <v>19</v>
      </c>
      <c r="P7" s="23" t="s">
        <v>19</v>
      </c>
      <c r="Q7" s="23" t="s">
        <v>19</v>
      </c>
      <c r="R7" s="23" t="s">
        <v>19</v>
      </c>
      <c r="S7" s="24" t="s">
        <v>23</v>
      </c>
      <c r="T7" s="82" t="s">
        <v>146</v>
      </c>
    </row>
    <row r="8" spans="2:20">
      <c r="B8" s="81"/>
      <c r="C8" s="25"/>
      <c r="D8" s="23" t="s">
        <v>19</v>
      </c>
      <c r="E8" s="26" t="s">
        <v>15</v>
      </c>
      <c r="F8" s="26" t="s">
        <v>15</v>
      </c>
      <c r="G8" s="23" t="s">
        <v>19</v>
      </c>
      <c r="H8" s="27">
        <v>3</v>
      </c>
      <c r="I8" s="28" t="s">
        <v>24</v>
      </c>
      <c r="J8" s="29">
        <v>5</v>
      </c>
      <c r="K8" s="19"/>
      <c r="L8" s="30">
        <v>35</v>
      </c>
      <c r="M8" s="31" t="s">
        <v>25</v>
      </c>
      <c r="N8" s="32" t="s">
        <v>15</v>
      </c>
      <c r="O8" s="33" t="s">
        <v>15</v>
      </c>
      <c r="P8" s="34" t="s">
        <v>16</v>
      </c>
      <c r="Q8" s="33" t="s">
        <v>15</v>
      </c>
      <c r="R8" s="33" t="s">
        <v>15</v>
      </c>
      <c r="S8" s="35" t="s">
        <v>26</v>
      </c>
      <c r="T8" s="36" t="s">
        <v>27</v>
      </c>
    </row>
    <row r="9" spans="2:20">
      <c r="B9" s="81"/>
      <c r="C9" s="25"/>
      <c r="D9" s="23" t="s">
        <v>19</v>
      </c>
      <c r="E9" s="26" t="s">
        <v>15</v>
      </c>
      <c r="F9" s="26" t="s">
        <v>15</v>
      </c>
      <c r="G9" s="23" t="s">
        <v>19</v>
      </c>
      <c r="H9" s="27">
        <v>6</v>
      </c>
      <c r="I9" s="28" t="s">
        <v>28</v>
      </c>
      <c r="J9" s="29">
        <v>6</v>
      </c>
      <c r="K9" s="19"/>
      <c r="L9" s="30">
        <v>34</v>
      </c>
      <c r="M9" s="31" t="s">
        <v>29</v>
      </c>
      <c r="N9" s="32" t="s">
        <v>15</v>
      </c>
      <c r="O9" s="33" t="s">
        <v>15</v>
      </c>
      <c r="P9" s="34" t="s">
        <v>16</v>
      </c>
      <c r="Q9" s="33" t="s">
        <v>15</v>
      </c>
      <c r="R9" s="33" t="s">
        <v>15</v>
      </c>
      <c r="S9" s="35" t="s">
        <v>30</v>
      </c>
      <c r="T9" s="36" t="s">
        <v>31</v>
      </c>
    </row>
    <row r="10" spans="2:20">
      <c r="B10" s="81"/>
      <c r="C10" s="25"/>
      <c r="D10" s="23" t="s">
        <v>19</v>
      </c>
      <c r="E10" s="26" t="s">
        <v>15</v>
      </c>
      <c r="F10" s="26" t="s">
        <v>15</v>
      </c>
      <c r="G10" s="23" t="s">
        <v>19</v>
      </c>
      <c r="H10" s="27">
        <v>7</v>
      </c>
      <c r="I10" s="28" t="s">
        <v>32</v>
      </c>
      <c r="J10" s="29">
        <v>7</v>
      </c>
      <c r="K10" s="19"/>
      <c r="L10" s="20">
        <v>33</v>
      </c>
      <c r="M10" s="21" t="s">
        <v>33</v>
      </c>
      <c r="N10" s="22" t="s">
        <v>15</v>
      </c>
      <c r="O10" s="23" t="s">
        <v>19</v>
      </c>
      <c r="P10" s="23" t="s">
        <v>19</v>
      </c>
      <c r="Q10" s="23" t="s">
        <v>19</v>
      </c>
      <c r="R10" s="23" t="s">
        <v>19</v>
      </c>
      <c r="S10" s="24" t="s">
        <v>34</v>
      </c>
      <c r="T10" s="82" t="s">
        <v>145</v>
      </c>
    </row>
    <row r="11" spans="2:20">
      <c r="B11" s="81"/>
      <c r="C11" s="25"/>
      <c r="D11" s="23" t="s">
        <v>19</v>
      </c>
      <c r="E11" s="23" t="s">
        <v>19</v>
      </c>
      <c r="F11" s="23" t="s">
        <v>19</v>
      </c>
      <c r="G11" s="23" t="s">
        <v>19</v>
      </c>
      <c r="H11" s="27">
        <v>4</v>
      </c>
      <c r="I11" s="37" t="s">
        <v>35</v>
      </c>
      <c r="J11" s="38">
        <v>8</v>
      </c>
      <c r="K11" s="19"/>
      <c r="L11" s="39" t="s">
        <v>36</v>
      </c>
      <c r="M11" s="40" t="s">
        <v>12</v>
      </c>
      <c r="N11" s="10"/>
      <c r="O11" s="11"/>
      <c r="P11" s="11"/>
      <c r="Q11" s="11"/>
      <c r="R11" s="11"/>
      <c r="S11" s="11"/>
      <c r="T11" s="12" t="s">
        <v>13</v>
      </c>
    </row>
    <row r="12" spans="2:20">
      <c r="B12" s="81"/>
      <c r="C12" s="25"/>
      <c r="D12" s="23" t="s">
        <v>19</v>
      </c>
      <c r="E12" s="23" t="s">
        <v>19</v>
      </c>
      <c r="F12" s="23" t="s">
        <v>19</v>
      </c>
      <c r="G12" s="23" t="s">
        <v>19</v>
      </c>
      <c r="H12" s="27">
        <v>5</v>
      </c>
      <c r="I12" s="37" t="s">
        <v>37</v>
      </c>
      <c r="J12" s="38">
        <v>9</v>
      </c>
      <c r="K12" s="19"/>
      <c r="L12" s="20">
        <v>31</v>
      </c>
      <c r="M12" s="21" t="s">
        <v>38</v>
      </c>
      <c r="N12" s="22" t="s">
        <v>15</v>
      </c>
      <c r="O12" s="23" t="s">
        <v>19</v>
      </c>
      <c r="P12" s="23" t="s">
        <v>19</v>
      </c>
      <c r="Q12" s="23" t="s">
        <v>19</v>
      </c>
      <c r="R12" s="23" t="s">
        <v>19</v>
      </c>
      <c r="S12" s="24" t="s">
        <v>39</v>
      </c>
      <c r="T12" s="82" t="s">
        <v>109</v>
      </c>
    </row>
    <row r="13" spans="2:20">
      <c r="B13" s="82" t="s">
        <v>115</v>
      </c>
      <c r="C13" s="25"/>
      <c r="D13" s="23" t="s">
        <v>19</v>
      </c>
      <c r="E13" s="23" t="s">
        <v>19</v>
      </c>
      <c r="F13" s="23" t="s">
        <v>19</v>
      </c>
      <c r="G13" s="23" t="s">
        <v>19</v>
      </c>
      <c r="H13" s="27">
        <v>8</v>
      </c>
      <c r="I13" s="37" t="s">
        <v>40</v>
      </c>
      <c r="J13" s="41">
        <v>10</v>
      </c>
      <c r="K13" s="19"/>
      <c r="L13" s="20">
        <v>30</v>
      </c>
      <c r="M13" s="21" t="s">
        <v>41</v>
      </c>
      <c r="N13" s="22" t="s">
        <v>15</v>
      </c>
      <c r="O13" s="23" t="s">
        <v>19</v>
      </c>
      <c r="P13" s="23" t="s">
        <v>19</v>
      </c>
      <c r="Q13" s="23" t="s">
        <v>19</v>
      </c>
      <c r="R13" s="23" t="s">
        <v>19</v>
      </c>
      <c r="S13" s="24" t="s">
        <v>42</v>
      </c>
      <c r="T13" s="82" t="s">
        <v>111</v>
      </c>
    </row>
    <row r="14" spans="2:20">
      <c r="B14" s="82" t="s">
        <v>143</v>
      </c>
      <c r="C14" s="25"/>
      <c r="D14" s="23" t="s">
        <v>19</v>
      </c>
      <c r="E14" s="23" t="s">
        <v>19</v>
      </c>
      <c r="F14" s="23" t="s">
        <v>19</v>
      </c>
      <c r="G14" s="23" t="s">
        <v>19</v>
      </c>
      <c r="H14" s="42">
        <v>9</v>
      </c>
      <c r="I14" s="37" t="s">
        <v>43</v>
      </c>
      <c r="J14" s="41">
        <v>11</v>
      </c>
      <c r="K14" s="19"/>
      <c r="L14" s="30">
        <v>29</v>
      </c>
      <c r="M14" s="43" t="s">
        <v>44</v>
      </c>
      <c r="N14" s="22" t="s">
        <v>15</v>
      </c>
      <c r="O14" s="44" t="s">
        <v>15</v>
      </c>
      <c r="P14" s="15" t="s">
        <v>16</v>
      </c>
      <c r="Q14" s="26" t="s">
        <v>19</v>
      </c>
      <c r="R14" s="45" t="s">
        <v>45</v>
      </c>
      <c r="S14" s="24" t="s">
        <v>46</v>
      </c>
      <c r="T14" s="81"/>
    </row>
    <row r="15" spans="2:20">
      <c r="B15" s="82" t="s">
        <v>144</v>
      </c>
      <c r="C15" s="25"/>
      <c r="D15" s="23" t="s">
        <v>19</v>
      </c>
      <c r="E15" s="23" t="s">
        <v>19</v>
      </c>
      <c r="F15" s="23" t="s">
        <v>19</v>
      </c>
      <c r="G15" s="23" t="s">
        <v>19</v>
      </c>
      <c r="H15" s="42">
        <v>7</v>
      </c>
      <c r="I15" s="37" t="s">
        <v>47</v>
      </c>
      <c r="J15" s="20">
        <v>12</v>
      </c>
      <c r="K15" s="19"/>
      <c r="L15" s="20">
        <v>28</v>
      </c>
      <c r="M15" s="21" t="s">
        <v>48</v>
      </c>
      <c r="N15" s="22" t="s">
        <v>15</v>
      </c>
      <c r="O15" s="23" t="s">
        <v>19</v>
      </c>
      <c r="P15" s="23" t="s">
        <v>19</v>
      </c>
      <c r="Q15" s="23" t="s">
        <v>19</v>
      </c>
      <c r="R15" s="23" t="s">
        <v>19</v>
      </c>
      <c r="S15" s="24" t="s">
        <v>49</v>
      </c>
      <c r="T15" s="82" t="s">
        <v>110</v>
      </c>
    </row>
    <row r="16" spans="2:20">
      <c r="B16" s="81"/>
      <c r="C16" s="24" t="s">
        <v>50</v>
      </c>
      <c r="D16" s="23" t="s">
        <v>19</v>
      </c>
      <c r="E16" s="26" t="s">
        <v>19</v>
      </c>
      <c r="F16" s="34" t="s">
        <v>16</v>
      </c>
      <c r="G16" s="23" t="s">
        <v>19</v>
      </c>
      <c r="H16" s="42">
        <v>6</v>
      </c>
      <c r="I16" s="37" t="s">
        <v>51</v>
      </c>
      <c r="J16" s="30">
        <v>13</v>
      </c>
      <c r="K16" s="19"/>
      <c r="L16" s="20">
        <v>27</v>
      </c>
      <c r="M16" s="21" t="s">
        <v>52</v>
      </c>
      <c r="N16" s="22" t="s">
        <v>15</v>
      </c>
      <c r="O16" s="23" t="s">
        <v>19</v>
      </c>
      <c r="P16" s="23" t="s">
        <v>19</v>
      </c>
      <c r="Q16" s="23" t="s">
        <v>19</v>
      </c>
      <c r="R16" s="23" t="s">
        <v>19</v>
      </c>
      <c r="S16" s="24" t="s">
        <v>53</v>
      </c>
      <c r="T16" s="82" t="s">
        <v>112</v>
      </c>
    </row>
    <row r="17" spans="2:20">
      <c r="B17" s="81"/>
      <c r="C17" s="24" t="s">
        <v>54</v>
      </c>
      <c r="D17" s="45" t="s">
        <v>45</v>
      </c>
      <c r="E17" s="45" t="s">
        <v>45</v>
      </c>
      <c r="F17" s="36" t="s">
        <v>55</v>
      </c>
      <c r="G17" s="44" t="s">
        <v>15</v>
      </c>
      <c r="H17" s="42">
        <v>5</v>
      </c>
      <c r="I17" s="46" t="s">
        <v>56</v>
      </c>
      <c r="J17" s="47">
        <v>14</v>
      </c>
      <c r="K17" s="19"/>
      <c r="L17" s="48">
        <v>26</v>
      </c>
      <c r="M17" s="21" t="s">
        <v>57</v>
      </c>
      <c r="N17" s="49">
        <v>0</v>
      </c>
      <c r="O17" s="23" t="s">
        <v>19</v>
      </c>
      <c r="P17" s="50" t="s">
        <v>55</v>
      </c>
      <c r="Q17" s="23" t="s">
        <v>19</v>
      </c>
      <c r="R17" s="23" t="s">
        <v>19</v>
      </c>
      <c r="S17" s="24"/>
      <c r="T17" s="81"/>
    </row>
    <row r="18" spans="2:20">
      <c r="B18" s="12" t="s">
        <v>13</v>
      </c>
      <c r="C18" s="12"/>
      <c r="D18" s="51"/>
      <c r="E18" s="51"/>
      <c r="F18" s="12"/>
      <c r="G18" s="12"/>
      <c r="H18" s="52"/>
      <c r="I18" s="53" t="s">
        <v>12</v>
      </c>
      <c r="J18" s="39">
        <v>15</v>
      </c>
      <c r="K18" s="19"/>
      <c r="L18" s="30">
        <v>25</v>
      </c>
      <c r="M18" s="43" t="s">
        <v>58</v>
      </c>
      <c r="N18" s="49">
        <v>1</v>
      </c>
      <c r="O18" s="54" t="s">
        <v>15</v>
      </c>
      <c r="P18" s="55" t="s">
        <v>16</v>
      </c>
      <c r="Q18" s="56" t="s">
        <v>45</v>
      </c>
      <c r="R18" s="45" t="s">
        <v>45</v>
      </c>
      <c r="S18" s="24"/>
      <c r="T18" s="81"/>
    </row>
    <row r="19" spans="2:20">
      <c r="B19" s="82" t="s">
        <v>114</v>
      </c>
      <c r="C19" s="24" t="s">
        <v>59</v>
      </c>
      <c r="D19" s="23" t="s">
        <v>19</v>
      </c>
      <c r="E19" s="23" t="s">
        <v>19</v>
      </c>
      <c r="F19" s="57" t="s">
        <v>55</v>
      </c>
      <c r="G19" s="23" t="s">
        <v>19</v>
      </c>
      <c r="H19" s="42">
        <v>4</v>
      </c>
      <c r="I19" s="37" t="s">
        <v>60</v>
      </c>
      <c r="J19" s="47">
        <v>16</v>
      </c>
      <c r="K19" s="19"/>
      <c r="L19" s="47">
        <v>24</v>
      </c>
      <c r="M19" s="43" t="s">
        <v>61</v>
      </c>
      <c r="N19" s="49">
        <v>2</v>
      </c>
      <c r="O19" s="58" t="s">
        <v>55</v>
      </c>
      <c r="P19" s="59" t="s">
        <v>55</v>
      </c>
      <c r="Q19" s="56" t="s">
        <v>45</v>
      </c>
      <c r="R19" s="45" t="s">
        <v>45</v>
      </c>
      <c r="S19" s="24"/>
      <c r="T19" s="81"/>
    </row>
    <row r="20" spans="2:20">
      <c r="B20" s="13" t="s">
        <v>62</v>
      </c>
      <c r="C20" s="13"/>
      <c r="D20" s="14" t="s">
        <v>15</v>
      </c>
      <c r="E20" s="14" t="s">
        <v>15</v>
      </c>
      <c r="F20" s="34" t="s">
        <v>16</v>
      </c>
      <c r="G20" s="14" t="s">
        <v>15</v>
      </c>
      <c r="H20" s="16" t="s">
        <v>15</v>
      </c>
      <c r="I20" s="60" t="s">
        <v>63</v>
      </c>
      <c r="J20" s="61">
        <v>17</v>
      </c>
      <c r="K20" s="19"/>
      <c r="L20" s="30">
        <v>23</v>
      </c>
      <c r="M20" s="43" t="s">
        <v>64</v>
      </c>
      <c r="N20" s="49">
        <v>3</v>
      </c>
      <c r="O20" s="44" t="s">
        <v>15</v>
      </c>
      <c r="P20" s="62" t="s">
        <v>16</v>
      </c>
      <c r="Q20" s="26" t="s">
        <v>19</v>
      </c>
      <c r="R20" s="45" t="s">
        <v>45</v>
      </c>
      <c r="S20" s="24" t="s">
        <v>65</v>
      </c>
      <c r="T20" s="81"/>
    </row>
    <row r="21" spans="2:20">
      <c r="B21" s="13" t="s">
        <v>62</v>
      </c>
      <c r="C21" s="13"/>
      <c r="D21" s="14" t="s">
        <v>15</v>
      </c>
      <c r="E21" s="14" t="s">
        <v>15</v>
      </c>
      <c r="F21" s="34" t="s">
        <v>16</v>
      </c>
      <c r="G21" s="14" t="s">
        <v>15</v>
      </c>
      <c r="H21" s="16" t="s">
        <v>15</v>
      </c>
      <c r="I21" s="60" t="s">
        <v>66</v>
      </c>
      <c r="J21" s="61">
        <v>18</v>
      </c>
      <c r="K21" s="19"/>
      <c r="L21" s="61">
        <v>22</v>
      </c>
      <c r="M21" s="63" t="s">
        <v>67</v>
      </c>
      <c r="N21" s="64" t="s">
        <v>15</v>
      </c>
      <c r="O21" s="14" t="s">
        <v>15</v>
      </c>
      <c r="P21" s="34" t="s">
        <v>16</v>
      </c>
      <c r="Q21" s="65" t="s">
        <v>15</v>
      </c>
      <c r="R21" s="65" t="s">
        <v>15</v>
      </c>
      <c r="S21" s="65"/>
      <c r="T21" s="13" t="s">
        <v>62</v>
      </c>
    </row>
    <row r="22" spans="2:20">
      <c r="B22" s="13" t="s">
        <v>62</v>
      </c>
      <c r="C22" s="13"/>
      <c r="D22" s="14" t="s">
        <v>15</v>
      </c>
      <c r="E22" s="14" t="s">
        <v>15</v>
      </c>
      <c r="F22" s="34" t="s">
        <v>16</v>
      </c>
      <c r="G22" s="14" t="s">
        <v>15</v>
      </c>
      <c r="H22" s="16" t="s">
        <v>15</v>
      </c>
      <c r="I22" s="60" t="s">
        <v>68</v>
      </c>
      <c r="J22" s="61">
        <v>19</v>
      </c>
      <c r="K22" s="19"/>
      <c r="L22" s="61">
        <v>21</v>
      </c>
      <c r="M22" s="63" t="s">
        <v>69</v>
      </c>
      <c r="N22" s="64" t="s">
        <v>15</v>
      </c>
      <c r="O22" s="14" t="s">
        <v>15</v>
      </c>
      <c r="P22" s="34" t="s">
        <v>16</v>
      </c>
      <c r="Q22" s="65" t="s">
        <v>15</v>
      </c>
      <c r="R22" s="65" t="s">
        <v>15</v>
      </c>
      <c r="S22" s="65"/>
      <c r="T22" s="13" t="s">
        <v>62</v>
      </c>
    </row>
    <row r="23" spans="2:20" ht="13.5" thickBot="1">
      <c r="B23" s="3" t="s">
        <v>70</v>
      </c>
      <c r="C23" s="3"/>
      <c r="D23" s="3"/>
      <c r="E23" s="3"/>
      <c r="F23" s="3"/>
      <c r="G23" s="3"/>
      <c r="H23" s="4"/>
      <c r="I23" s="66" t="s">
        <v>71</v>
      </c>
      <c r="J23" s="67" t="s">
        <v>36</v>
      </c>
      <c r="K23" s="68"/>
      <c r="L23" s="69">
        <v>20</v>
      </c>
      <c r="M23" s="70" t="s">
        <v>72</v>
      </c>
      <c r="N23" s="64" t="s">
        <v>15</v>
      </c>
      <c r="O23" s="14" t="s">
        <v>15</v>
      </c>
      <c r="P23" s="34" t="s">
        <v>16</v>
      </c>
      <c r="Q23" s="65" t="s">
        <v>15</v>
      </c>
      <c r="R23" s="65" t="s">
        <v>15</v>
      </c>
      <c r="S23" s="65"/>
      <c r="T23" s="13" t="s">
        <v>62</v>
      </c>
    </row>
    <row r="25" spans="2:20" ht="12.75" customHeight="1">
      <c r="B25" s="121" t="s">
        <v>73</v>
      </c>
      <c r="C25" s="122"/>
      <c r="E25" s="123" t="s">
        <v>74</v>
      </c>
      <c r="F25" s="124"/>
      <c r="G25" s="124"/>
      <c r="H25" s="124"/>
      <c r="I25" s="125"/>
      <c r="K25" s="121" t="s">
        <v>75</v>
      </c>
      <c r="L25" s="122"/>
      <c r="N25" s="129" t="s">
        <v>76</v>
      </c>
      <c r="O25" s="130"/>
      <c r="P25" s="130"/>
      <c r="Q25" s="130"/>
      <c r="R25" s="130"/>
      <c r="S25" s="130"/>
      <c r="T25" s="131"/>
    </row>
    <row r="26" spans="2:20">
      <c r="B26" s="132" t="s">
        <v>77</v>
      </c>
      <c r="C26" s="133"/>
      <c r="E26" s="126"/>
      <c r="F26" s="127"/>
      <c r="G26" s="127"/>
      <c r="H26" s="127"/>
      <c r="I26" s="128"/>
      <c r="K26" s="134" t="s">
        <v>78</v>
      </c>
      <c r="L26" s="135"/>
      <c r="N26" s="23" t="s">
        <v>19</v>
      </c>
      <c r="O26" s="71" t="s">
        <v>36</v>
      </c>
      <c r="P26" s="136" t="s">
        <v>79</v>
      </c>
      <c r="Q26" s="136"/>
      <c r="R26" s="136"/>
      <c r="S26" s="136"/>
      <c r="T26" s="137"/>
    </row>
    <row r="27" spans="2:20">
      <c r="B27" s="138" t="s">
        <v>80</v>
      </c>
      <c r="C27" s="139"/>
      <c r="E27" s="140" t="s">
        <v>81</v>
      </c>
      <c r="F27" s="141"/>
      <c r="G27" s="141"/>
      <c r="H27" s="141"/>
      <c r="I27" s="142"/>
      <c r="K27" s="143" t="s">
        <v>82</v>
      </c>
      <c r="L27" s="144"/>
      <c r="N27" s="26" t="s">
        <v>15</v>
      </c>
      <c r="O27" s="72" t="s">
        <v>36</v>
      </c>
      <c r="P27" s="145" t="s">
        <v>83</v>
      </c>
      <c r="Q27" s="145"/>
      <c r="R27" s="145"/>
      <c r="S27" s="145"/>
      <c r="T27" s="146"/>
    </row>
    <row r="28" spans="2:20">
      <c r="B28" s="147" t="s">
        <v>84</v>
      </c>
      <c r="C28" s="148"/>
      <c r="E28" s="149" t="s">
        <v>85</v>
      </c>
      <c r="F28" s="150"/>
      <c r="G28" s="150"/>
      <c r="H28" s="150"/>
      <c r="I28" s="151"/>
      <c r="K28" s="152" t="s">
        <v>86</v>
      </c>
      <c r="L28" s="153"/>
      <c r="N28" s="45" t="s">
        <v>45</v>
      </c>
      <c r="O28" s="72" t="s">
        <v>36</v>
      </c>
      <c r="P28" s="145" t="s">
        <v>87</v>
      </c>
      <c r="Q28" s="145"/>
      <c r="R28" s="145"/>
      <c r="S28" s="145"/>
      <c r="T28" s="146"/>
    </row>
    <row r="29" spans="2:20">
      <c r="B29" s="154" t="s">
        <v>88</v>
      </c>
      <c r="C29" s="155"/>
      <c r="E29" s="156"/>
      <c r="F29" s="156"/>
      <c r="G29" s="156"/>
      <c r="H29" s="156"/>
      <c r="I29" s="156"/>
      <c r="K29" s="157" t="s">
        <v>89</v>
      </c>
      <c r="L29" s="158"/>
      <c r="N29" s="26" t="s">
        <v>19</v>
      </c>
      <c r="O29" s="72" t="s">
        <v>36</v>
      </c>
      <c r="P29" s="145" t="s">
        <v>90</v>
      </c>
      <c r="Q29" s="145"/>
      <c r="R29" s="145"/>
      <c r="S29" s="145"/>
      <c r="T29" s="146"/>
    </row>
    <row r="30" spans="2:20">
      <c r="B30" s="159" t="s">
        <v>91</v>
      </c>
      <c r="C30" s="160"/>
      <c r="E30" s="161" t="s">
        <v>92</v>
      </c>
      <c r="F30" s="162"/>
      <c r="G30" s="162"/>
      <c r="H30" s="162"/>
      <c r="I30" s="163"/>
      <c r="K30" s="167" t="s">
        <v>93</v>
      </c>
      <c r="L30" s="168"/>
      <c r="N30" s="73">
        <v>0</v>
      </c>
      <c r="O30" s="74" t="s">
        <v>36</v>
      </c>
      <c r="P30" s="169" t="s">
        <v>94</v>
      </c>
      <c r="Q30" s="169"/>
      <c r="R30" s="169"/>
      <c r="S30" s="169"/>
      <c r="T30" s="170"/>
    </row>
    <row r="31" spans="2:20">
      <c r="E31" s="164"/>
      <c r="F31" s="165"/>
      <c r="G31" s="165"/>
      <c r="H31" s="165"/>
      <c r="I31" s="166"/>
    </row>
    <row r="32" spans="2:20">
      <c r="E32" s="171" t="s">
        <v>95</v>
      </c>
      <c r="F32" s="172"/>
      <c r="G32" s="172"/>
      <c r="H32" s="172"/>
      <c r="I32" s="173"/>
      <c r="N32" s="129" t="s">
        <v>96</v>
      </c>
      <c r="O32" s="130"/>
      <c r="P32" s="130"/>
      <c r="Q32" s="130"/>
      <c r="R32" s="130"/>
      <c r="S32" s="130"/>
      <c r="T32" s="131"/>
    </row>
    <row r="33" spans="5:20">
      <c r="E33" s="174" t="s">
        <v>97</v>
      </c>
      <c r="F33" s="175"/>
      <c r="G33" s="175"/>
      <c r="H33" s="175"/>
      <c r="I33" s="176"/>
      <c r="N33" s="34" t="s">
        <v>16</v>
      </c>
      <c r="O33" s="71" t="s">
        <v>36</v>
      </c>
      <c r="P33" s="136" t="s">
        <v>98</v>
      </c>
      <c r="Q33" s="136"/>
      <c r="R33" s="136"/>
      <c r="S33" s="136"/>
      <c r="T33" s="137"/>
    </row>
    <row r="34" spans="5:20">
      <c r="N34" s="57" t="s">
        <v>55</v>
      </c>
      <c r="O34" s="72" t="s">
        <v>36</v>
      </c>
      <c r="P34" s="145" t="s">
        <v>99</v>
      </c>
      <c r="Q34" s="145"/>
      <c r="R34" s="145"/>
      <c r="S34" s="145"/>
      <c r="T34" s="146"/>
    </row>
    <row r="35" spans="5:20">
      <c r="K35" s="75"/>
      <c r="N35" s="23" t="s">
        <v>19</v>
      </c>
      <c r="O35" s="72" t="s">
        <v>36</v>
      </c>
      <c r="P35" s="145" t="s">
        <v>100</v>
      </c>
      <c r="Q35" s="145"/>
      <c r="R35" s="145"/>
      <c r="S35" s="145"/>
      <c r="T35" s="146"/>
    </row>
    <row r="36" spans="5:20">
      <c r="N36" s="26" t="s">
        <v>15</v>
      </c>
      <c r="O36" s="74" t="s">
        <v>36</v>
      </c>
      <c r="P36" s="169" t="s">
        <v>101</v>
      </c>
      <c r="Q36" s="169"/>
      <c r="R36" s="169"/>
      <c r="S36" s="169"/>
      <c r="T36" s="170"/>
    </row>
  </sheetData>
  <mergeCells count="50">
    <mergeCell ref="Q2:Q3"/>
    <mergeCell ref="R2:R3"/>
    <mergeCell ref="S2:S3"/>
    <mergeCell ref="T2:T3"/>
    <mergeCell ref="B4:T4"/>
    <mergeCell ref="L2:L3"/>
    <mergeCell ref="M2:M3"/>
    <mergeCell ref="N2:N3"/>
    <mergeCell ref="O2:O3"/>
    <mergeCell ref="P2:P3"/>
    <mergeCell ref="G2:G3"/>
    <mergeCell ref="H2:H3"/>
    <mergeCell ref="I2:I3"/>
    <mergeCell ref="J2:J3"/>
    <mergeCell ref="K2:K3"/>
    <mergeCell ref="B2:B3"/>
    <mergeCell ref="P35:T35"/>
    <mergeCell ref="P36:T36"/>
    <mergeCell ref="E32:I32"/>
    <mergeCell ref="N32:T32"/>
    <mergeCell ref="E33:I33"/>
    <mergeCell ref="P33:T33"/>
    <mergeCell ref="P34:T34"/>
    <mergeCell ref="B29:C29"/>
    <mergeCell ref="E29:I29"/>
    <mergeCell ref="K29:L29"/>
    <mergeCell ref="P29:T29"/>
    <mergeCell ref="B30:C30"/>
    <mergeCell ref="E30:I31"/>
    <mergeCell ref="K30:L30"/>
    <mergeCell ref="P30:T30"/>
    <mergeCell ref="B27:C27"/>
    <mergeCell ref="E27:I27"/>
    <mergeCell ref="K27:L27"/>
    <mergeCell ref="P27:T27"/>
    <mergeCell ref="B28:C28"/>
    <mergeCell ref="E28:I28"/>
    <mergeCell ref="K28:L28"/>
    <mergeCell ref="P28:T28"/>
    <mergeCell ref="K25:L25"/>
    <mergeCell ref="N25:T25"/>
    <mergeCell ref="B26:C26"/>
    <mergeCell ref="K26:L26"/>
    <mergeCell ref="P26:T26"/>
    <mergeCell ref="C2:C3"/>
    <mergeCell ref="D2:D3"/>
    <mergeCell ref="E2:E3"/>
    <mergeCell ref="F2:F3"/>
    <mergeCell ref="B25:C25"/>
    <mergeCell ref="E25:I26"/>
  </mergeCells>
  <pageMargins left="0.7" right="0.7" top="0.75" bottom="0.75" header="0.3" footer="0.3"/>
  <pageSetup paperSize="9" firstPageNumber="429496729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T36"/>
  <sheetViews>
    <sheetView showGridLines="0" tabSelected="1" workbookViewId="0">
      <selection activeCell="T19" sqref="T19"/>
    </sheetView>
  </sheetViews>
  <sheetFormatPr defaultRowHeight="12.75"/>
  <cols>
    <col min="1" max="1" width="2.7109375" style="112" customWidth="1"/>
    <col min="2" max="2" width="30.85546875" style="112" customWidth="1"/>
    <col min="3" max="3" width="10.7109375" style="112" customWidth="1"/>
    <col min="4" max="8" width="3" style="112" customWidth="1"/>
    <col min="9" max="9" width="6.7109375" style="112" customWidth="1"/>
    <col min="10" max="10" width="3.28515625" style="112" customWidth="1"/>
    <col min="11" max="11" width="27.28515625" style="112" bestFit="1" customWidth="1"/>
    <col min="12" max="12" width="3.28515625" style="112" customWidth="1"/>
    <col min="13" max="13" width="6.7109375" style="112" customWidth="1"/>
    <col min="14" max="18" width="3" style="112" customWidth="1"/>
    <col min="19" max="19" width="10.7109375" style="112" customWidth="1"/>
    <col min="20" max="20" width="30.85546875" style="112" customWidth="1"/>
    <col min="21" max="21" width="2.42578125" style="112" customWidth="1"/>
    <col min="22" max="16384" width="9.140625" style="112"/>
  </cols>
  <sheetData>
    <row r="1" spans="2:20" ht="12.75" customHeight="1" thickBot="1"/>
    <row r="2" spans="2:20" s="2" customFormat="1" ht="23.25" customHeight="1">
      <c r="B2" s="194" t="s">
        <v>0</v>
      </c>
      <c r="C2" s="113" t="s">
        <v>1</v>
      </c>
      <c r="D2" s="115" t="s">
        <v>2</v>
      </c>
      <c r="E2" s="117" t="s">
        <v>3</v>
      </c>
      <c r="F2" s="119" t="s">
        <v>4</v>
      </c>
      <c r="G2" s="186" t="s">
        <v>5</v>
      </c>
      <c r="H2" s="184" t="s">
        <v>6</v>
      </c>
      <c r="I2" s="188" t="s">
        <v>7</v>
      </c>
      <c r="J2" s="190" t="s">
        <v>8</v>
      </c>
      <c r="K2" s="192" t="s">
        <v>9</v>
      </c>
      <c r="L2" s="180" t="s">
        <v>8</v>
      </c>
      <c r="M2" s="182" t="s">
        <v>7</v>
      </c>
      <c r="N2" s="184" t="s">
        <v>6</v>
      </c>
      <c r="O2" s="186" t="s">
        <v>5</v>
      </c>
      <c r="P2" s="119" t="s">
        <v>4</v>
      </c>
      <c r="Q2" s="117" t="s">
        <v>3</v>
      </c>
      <c r="R2" s="115" t="s">
        <v>2</v>
      </c>
      <c r="S2" s="113" t="s">
        <v>1</v>
      </c>
      <c r="T2" s="177" t="s">
        <v>0</v>
      </c>
    </row>
    <row r="3" spans="2:20" s="2" customFormat="1" ht="21.75" customHeight="1" thickBot="1">
      <c r="B3" s="195"/>
      <c r="C3" s="114"/>
      <c r="D3" s="116"/>
      <c r="E3" s="118"/>
      <c r="F3" s="120"/>
      <c r="G3" s="187"/>
      <c r="H3" s="185"/>
      <c r="I3" s="189"/>
      <c r="J3" s="191"/>
      <c r="K3" s="193"/>
      <c r="L3" s="181"/>
      <c r="M3" s="183"/>
      <c r="N3" s="185"/>
      <c r="O3" s="187"/>
      <c r="P3" s="120"/>
      <c r="Q3" s="118"/>
      <c r="R3" s="116"/>
      <c r="S3" s="114"/>
      <c r="T3" s="178"/>
    </row>
    <row r="4" spans="2:20" ht="12.75" customHeight="1" thickBot="1"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</row>
    <row r="5" spans="2:20">
      <c r="B5" s="3" t="s">
        <v>10</v>
      </c>
      <c r="C5" s="3"/>
      <c r="D5" s="3"/>
      <c r="E5" s="3"/>
      <c r="F5" s="3"/>
      <c r="G5" s="3"/>
      <c r="H5" s="4"/>
      <c r="I5" s="5" t="s">
        <v>11</v>
      </c>
      <c r="J5" s="6">
        <v>2</v>
      </c>
      <c r="K5" s="7"/>
      <c r="L5" s="8">
        <v>38</v>
      </c>
      <c r="M5" s="9" t="s">
        <v>12</v>
      </c>
      <c r="N5" s="10"/>
      <c r="O5" s="11"/>
      <c r="P5" s="11"/>
      <c r="Q5" s="11"/>
      <c r="R5" s="11"/>
      <c r="S5" s="11"/>
      <c r="T5" s="12" t="s">
        <v>13</v>
      </c>
    </row>
    <row r="6" spans="2:20">
      <c r="B6" s="13" t="s">
        <v>14</v>
      </c>
      <c r="C6" s="13"/>
      <c r="D6" s="14" t="s">
        <v>15</v>
      </c>
      <c r="E6" s="14" t="s">
        <v>15</v>
      </c>
      <c r="F6" s="15" t="s">
        <v>16</v>
      </c>
      <c r="G6" s="14" t="s">
        <v>15</v>
      </c>
      <c r="H6" s="16" t="s">
        <v>15</v>
      </c>
      <c r="I6" s="17" t="s">
        <v>17</v>
      </c>
      <c r="J6" s="18">
        <v>3</v>
      </c>
      <c r="K6" s="19"/>
      <c r="L6" s="20">
        <v>37</v>
      </c>
      <c r="M6" s="21" t="s">
        <v>18</v>
      </c>
      <c r="N6" s="22" t="s">
        <v>15</v>
      </c>
      <c r="O6" s="23" t="s">
        <v>19</v>
      </c>
      <c r="P6" s="23" t="s">
        <v>19</v>
      </c>
      <c r="Q6" s="23" t="s">
        <v>19</v>
      </c>
      <c r="R6" s="23" t="s">
        <v>19</v>
      </c>
      <c r="S6" s="24" t="s">
        <v>20</v>
      </c>
      <c r="T6" s="81"/>
    </row>
    <row r="7" spans="2:20">
      <c r="B7" s="81"/>
      <c r="C7" s="25"/>
      <c r="D7" s="23" t="s">
        <v>19</v>
      </c>
      <c r="E7" s="26" t="s">
        <v>15</v>
      </c>
      <c r="F7" s="26" t="s">
        <v>15</v>
      </c>
      <c r="G7" s="23" t="s">
        <v>19</v>
      </c>
      <c r="H7" s="27">
        <v>0</v>
      </c>
      <c r="I7" s="28" t="s">
        <v>21</v>
      </c>
      <c r="J7" s="29">
        <v>4</v>
      </c>
      <c r="K7" s="19"/>
      <c r="L7" s="20">
        <v>36</v>
      </c>
      <c r="M7" s="21" t="s">
        <v>22</v>
      </c>
      <c r="N7" s="22" t="s">
        <v>15</v>
      </c>
      <c r="O7" s="23" t="s">
        <v>19</v>
      </c>
      <c r="P7" s="23" t="s">
        <v>19</v>
      </c>
      <c r="Q7" s="23" t="s">
        <v>19</v>
      </c>
      <c r="R7" s="23" t="s">
        <v>19</v>
      </c>
      <c r="S7" s="24" t="s">
        <v>23</v>
      </c>
      <c r="T7" s="82" t="s">
        <v>146</v>
      </c>
    </row>
    <row r="8" spans="2:20">
      <c r="B8" s="81"/>
      <c r="C8" s="25"/>
      <c r="D8" s="23" t="s">
        <v>19</v>
      </c>
      <c r="E8" s="26" t="s">
        <v>15</v>
      </c>
      <c r="F8" s="26" t="s">
        <v>15</v>
      </c>
      <c r="G8" s="23" t="s">
        <v>19</v>
      </c>
      <c r="H8" s="27">
        <v>3</v>
      </c>
      <c r="I8" s="28" t="s">
        <v>24</v>
      </c>
      <c r="J8" s="29">
        <v>5</v>
      </c>
      <c r="K8" s="19"/>
      <c r="L8" s="30">
        <v>35</v>
      </c>
      <c r="M8" s="31" t="s">
        <v>25</v>
      </c>
      <c r="N8" s="32" t="s">
        <v>15</v>
      </c>
      <c r="O8" s="33" t="s">
        <v>15</v>
      </c>
      <c r="P8" s="34" t="s">
        <v>16</v>
      </c>
      <c r="Q8" s="33" t="s">
        <v>15</v>
      </c>
      <c r="R8" s="33" t="s">
        <v>15</v>
      </c>
      <c r="S8" s="35" t="s">
        <v>26</v>
      </c>
      <c r="T8" s="36" t="s">
        <v>27</v>
      </c>
    </row>
    <row r="9" spans="2:20">
      <c r="B9" s="81"/>
      <c r="C9" s="25"/>
      <c r="D9" s="23" t="s">
        <v>19</v>
      </c>
      <c r="E9" s="26" t="s">
        <v>15</v>
      </c>
      <c r="F9" s="26" t="s">
        <v>15</v>
      </c>
      <c r="G9" s="23" t="s">
        <v>19</v>
      </c>
      <c r="H9" s="27">
        <v>6</v>
      </c>
      <c r="I9" s="28" t="s">
        <v>28</v>
      </c>
      <c r="J9" s="29">
        <v>6</v>
      </c>
      <c r="K9" s="19"/>
      <c r="L9" s="30">
        <v>34</v>
      </c>
      <c r="M9" s="31" t="s">
        <v>29</v>
      </c>
      <c r="N9" s="32" t="s">
        <v>15</v>
      </c>
      <c r="O9" s="33" t="s">
        <v>15</v>
      </c>
      <c r="P9" s="34" t="s">
        <v>16</v>
      </c>
      <c r="Q9" s="33" t="s">
        <v>15</v>
      </c>
      <c r="R9" s="33" t="s">
        <v>15</v>
      </c>
      <c r="S9" s="35" t="s">
        <v>30</v>
      </c>
      <c r="T9" s="36" t="s">
        <v>31</v>
      </c>
    </row>
    <row r="10" spans="2:20">
      <c r="B10" s="81"/>
      <c r="C10" s="25"/>
      <c r="D10" s="23" t="s">
        <v>19</v>
      </c>
      <c r="E10" s="26" t="s">
        <v>15</v>
      </c>
      <c r="F10" s="26" t="s">
        <v>15</v>
      </c>
      <c r="G10" s="23" t="s">
        <v>19</v>
      </c>
      <c r="H10" s="27">
        <v>7</v>
      </c>
      <c r="I10" s="28" t="s">
        <v>32</v>
      </c>
      <c r="J10" s="29">
        <v>7</v>
      </c>
      <c r="K10" s="19"/>
      <c r="L10" s="20">
        <v>33</v>
      </c>
      <c r="M10" s="21" t="s">
        <v>33</v>
      </c>
      <c r="N10" s="22" t="s">
        <v>15</v>
      </c>
      <c r="O10" s="23" t="s">
        <v>19</v>
      </c>
      <c r="P10" s="23" t="s">
        <v>19</v>
      </c>
      <c r="Q10" s="23" t="s">
        <v>19</v>
      </c>
      <c r="R10" s="23" t="s">
        <v>19</v>
      </c>
      <c r="S10" s="24" t="s">
        <v>34</v>
      </c>
      <c r="T10" s="82" t="s">
        <v>145</v>
      </c>
    </row>
    <row r="11" spans="2:20">
      <c r="B11" s="81"/>
      <c r="C11" s="25"/>
      <c r="D11" s="23" t="s">
        <v>19</v>
      </c>
      <c r="E11" s="23" t="s">
        <v>19</v>
      </c>
      <c r="F11" s="23" t="s">
        <v>19</v>
      </c>
      <c r="G11" s="23" t="s">
        <v>19</v>
      </c>
      <c r="H11" s="27">
        <v>4</v>
      </c>
      <c r="I11" s="37" t="s">
        <v>35</v>
      </c>
      <c r="J11" s="38">
        <v>8</v>
      </c>
      <c r="K11" s="19"/>
      <c r="L11" s="39" t="s">
        <v>36</v>
      </c>
      <c r="M11" s="40" t="s">
        <v>12</v>
      </c>
      <c r="N11" s="10"/>
      <c r="O11" s="11"/>
      <c r="P11" s="11"/>
      <c r="Q11" s="11"/>
      <c r="R11" s="11"/>
      <c r="S11" s="11"/>
      <c r="T11" s="12" t="s">
        <v>13</v>
      </c>
    </row>
    <row r="12" spans="2:20">
      <c r="B12" s="81"/>
      <c r="C12" s="25"/>
      <c r="D12" s="23" t="s">
        <v>19</v>
      </c>
      <c r="E12" s="23" t="s">
        <v>19</v>
      </c>
      <c r="F12" s="23" t="s">
        <v>19</v>
      </c>
      <c r="G12" s="23" t="s">
        <v>19</v>
      </c>
      <c r="H12" s="27">
        <v>5</v>
      </c>
      <c r="I12" s="37" t="s">
        <v>37</v>
      </c>
      <c r="J12" s="38">
        <v>9</v>
      </c>
      <c r="K12" s="19"/>
      <c r="L12" s="20">
        <v>31</v>
      </c>
      <c r="M12" s="21" t="s">
        <v>38</v>
      </c>
      <c r="N12" s="22" t="s">
        <v>15</v>
      </c>
      <c r="O12" s="23" t="s">
        <v>19</v>
      </c>
      <c r="P12" s="23" t="s">
        <v>19</v>
      </c>
      <c r="Q12" s="23" t="s">
        <v>19</v>
      </c>
      <c r="R12" s="23" t="s">
        <v>19</v>
      </c>
      <c r="S12" s="24" t="s">
        <v>39</v>
      </c>
      <c r="T12" s="88" t="s">
        <v>113</v>
      </c>
    </row>
    <row r="13" spans="2:20">
      <c r="B13" s="82" t="s">
        <v>115</v>
      </c>
      <c r="C13" s="25"/>
      <c r="D13" s="23" t="s">
        <v>19</v>
      </c>
      <c r="E13" s="23" t="s">
        <v>19</v>
      </c>
      <c r="F13" s="23" t="s">
        <v>19</v>
      </c>
      <c r="G13" s="23" t="s">
        <v>19</v>
      </c>
      <c r="H13" s="27">
        <v>8</v>
      </c>
      <c r="I13" s="37" t="s">
        <v>40</v>
      </c>
      <c r="J13" s="41">
        <v>10</v>
      </c>
      <c r="K13" s="19"/>
      <c r="L13" s="20">
        <v>30</v>
      </c>
      <c r="M13" s="21" t="s">
        <v>41</v>
      </c>
      <c r="N13" s="22" t="s">
        <v>15</v>
      </c>
      <c r="O13" s="23" t="s">
        <v>19</v>
      </c>
      <c r="P13" s="23" t="s">
        <v>19</v>
      </c>
      <c r="Q13" s="23" t="s">
        <v>19</v>
      </c>
      <c r="R13" s="23" t="s">
        <v>19</v>
      </c>
      <c r="S13" s="24" t="s">
        <v>42</v>
      </c>
      <c r="T13" s="82" t="s">
        <v>109</v>
      </c>
    </row>
    <row r="14" spans="2:20">
      <c r="B14" s="82" t="s">
        <v>143</v>
      </c>
      <c r="C14" s="25"/>
      <c r="D14" s="23" t="s">
        <v>19</v>
      </c>
      <c r="E14" s="23" t="s">
        <v>19</v>
      </c>
      <c r="F14" s="23" t="s">
        <v>19</v>
      </c>
      <c r="G14" s="23" t="s">
        <v>19</v>
      </c>
      <c r="H14" s="42">
        <v>9</v>
      </c>
      <c r="I14" s="37" t="s">
        <v>43</v>
      </c>
      <c r="J14" s="41">
        <v>11</v>
      </c>
      <c r="K14" s="19"/>
      <c r="L14" s="30">
        <v>29</v>
      </c>
      <c r="M14" s="43" t="s">
        <v>44</v>
      </c>
      <c r="N14" s="22" t="s">
        <v>15</v>
      </c>
      <c r="O14" s="44" t="s">
        <v>15</v>
      </c>
      <c r="P14" s="15" t="s">
        <v>16</v>
      </c>
      <c r="Q14" s="26" t="s">
        <v>19</v>
      </c>
      <c r="R14" s="45" t="s">
        <v>45</v>
      </c>
      <c r="S14" s="24" t="s">
        <v>46</v>
      </c>
      <c r="T14" s="81"/>
    </row>
    <row r="15" spans="2:20">
      <c r="B15" s="82" t="s">
        <v>144</v>
      </c>
      <c r="C15" s="25"/>
      <c r="D15" s="23" t="s">
        <v>19</v>
      </c>
      <c r="E15" s="23" t="s">
        <v>19</v>
      </c>
      <c r="F15" s="23" t="s">
        <v>19</v>
      </c>
      <c r="G15" s="23" t="s">
        <v>19</v>
      </c>
      <c r="H15" s="42">
        <v>7</v>
      </c>
      <c r="I15" s="37" t="s">
        <v>47</v>
      </c>
      <c r="J15" s="20">
        <v>12</v>
      </c>
      <c r="K15" s="19"/>
      <c r="L15" s="20">
        <v>28</v>
      </c>
      <c r="M15" s="21" t="s">
        <v>48</v>
      </c>
      <c r="N15" s="22" t="s">
        <v>15</v>
      </c>
      <c r="O15" s="23" t="s">
        <v>19</v>
      </c>
      <c r="P15" s="23" t="s">
        <v>19</v>
      </c>
      <c r="Q15" s="23" t="s">
        <v>19</v>
      </c>
      <c r="R15" s="23" t="s">
        <v>19</v>
      </c>
      <c r="S15" s="24" t="s">
        <v>49</v>
      </c>
      <c r="T15" s="82" t="s">
        <v>111</v>
      </c>
    </row>
    <row r="16" spans="2:20">
      <c r="B16" s="81"/>
      <c r="C16" s="24" t="s">
        <v>50</v>
      </c>
      <c r="D16" s="23" t="s">
        <v>19</v>
      </c>
      <c r="E16" s="26" t="s">
        <v>19</v>
      </c>
      <c r="F16" s="34" t="s">
        <v>16</v>
      </c>
      <c r="G16" s="23" t="s">
        <v>19</v>
      </c>
      <c r="H16" s="42">
        <v>6</v>
      </c>
      <c r="I16" s="37" t="s">
        <v>51</v>
      </c>
      <c r="J16" s="30">
        <v>13</v>
      </c>
      <c r="K16" s="19"/>
      <c r="L16" s="20">
        <v>27</v>
      </c>
      <c r="M16" s="21" t="s">
        <v>52</v>
      </c>
      <c r="N16" s="22" t="s">
        <v>15</v>
      </c>
      <c r="O16" s="23" t="s">
        <v>19</v>
      </c>
      <c r="P16" s="23" t="s">
        <v>19</v>
      </c>
      <c r="Q16" s="23" t="s">
        <v>19</v>
      </c>
      <c r="R16" s="23" t="s">
        <v>19</v>
      </c>
      <c r="S16" s="24" t="s">
        <v>53</v>
      </c>
      <c r="T16" s="82" t="s">
        <v>110</v>
      </c>
    </row>
    <row r="17" spans="2:20">
      <c r="B17" s="81"/>
      <c r="C17" s="24" t="s">
        <v>54</v>
      </c>
      <c r="D17" s="45" t="s">
        <v>45</v>
      </c>
      <c r="E17" s="45" t="s">
        <v>45</v>
      </c>
      <c r="F17" s="36" t="s">
        <v>55</v>
      </c>
      <c r="G17" s="44" t="s">
        <v>15</v>
      </c>
      <c r="H17" s="42">
        <v>5</v>
      </c>
      <c r="I17" s="46" t="s">
        <v>56</v>
      </c>
      <c r="J17" s="47">
        <v>14</v>
      </c>
      <c r="K17" s="19"/>
      <c r="L17" s="48">
        <v>26</v>
      </c>
      <c r="M17" s="21" t="s">
        <v>57</v>
      </c>
      <c r="N17" s="49">
        <v>0</v>
      </c>
      <c r="O17" s="23" t="s">
        <v>19</v>
      </c>
      <c r="P17" s="50" t="s">
        <v>55</v>
      </c>
      <c r="Q17" s="23" t="s">
        <v>19</v>
      </c>
      <c r="R17" s="23" t="s">
        <v>19</v>
      </c>
      <c r="S17" s="24"/>
      <c r="T17" s="82" t="s">
        <v>112</v>
      </c>
    </row>
    <row r="18" spans="2:20">
      <c r="B18" s="12" t="s">
        <v>13</v>
      </c>
      <c r="C18" s="12"/>
      <c r="D18" s="51"/>
      <c r="E18" s="51"/>
      <c r="F18" s="12"/>
      <c r="G18" s="12"/>
      <c r="H18" s="52"/>
      <c r="I18" s="53" t="s">
        <v>12</v>
      </c>
      <c r="J18" s="39">
        <v>15</v>
      </c>
      <c r="K18" s="19"/>
      <c r="L18" s="30">
        <v>25</v>
      </c>
      <c r="M18" s="43" t="s">
        <v>58</v>
      </c>
      <c r="N18" s="49">
        <v>1</v>
      </c>
      <c r="O18" s="54" t="s">
        <v>15</v>
      </c>
      <c r="P18" s="55" t="s">
        <v>16</v>
      </c>
      <c r="Q18" s="56" t="s">
        <v>45</v>
      </c>
      <c r="R18" s="45" t="s">
        <v>45</v>
      </c>
      <c r="S18" s="24"/>
      <c r="T18" s="81"/>
    </row>
    <row r="19" spans="2:20">
      <c r="B19" s="82" t="s">
        <v>114</v>
      </c>
      <c r="C19" s="24" t="s">
        <v>59</v>
      </c>
      <c r="D19" s="23" t="s">
        <v>19</v>
      </c>
      <c r="E19" s="23" t="s">
        <v>19</v>
      </c>
      <c r="F19" s="57" t="s">
        <v>55</v>
      </c>
      <c r="G19" s="23" t="s">
        <v>19</v>
      </c>
      <c r="H19" s="42">
        <v>4</v>
      </c>
      <c r="I19" s="37" t="s">
        <v>60</v>
      </c>
      <c r="J19" s="47">
        <v>16</v>
      </c>
      <c r="K19" s="19"/>
      <c r="L19" s="47">
        <v>24</v>
      </c>
      <c r="M19" s="43" t="s">
        <v>61</v>
      </c>
      <c r="N19" s="49">
        <v>2</v>
      </c>
      <c r="O19" s="58" t="s">
        <v>55</v>
      </c>
      <c r="P19" s="59" t="s">
        <v>55</v>
      </c>
      <c r="Q19" s="56" t="s">
        <v>45</v>
      </c>
      <c r="R19" s="45" t="s">
        <v>45</v>
      </c>
      <c r="S19" s="24"/>
      <c r="T19" s="81"/>
    </row>
    <row r="20" spans="2:20">
      <c r="B20" s="13" t="s">
        <v>62</v>
      </c>
      <c r="C20" s="13"/>
      <c r="D20" s="14" t="s">
        <v>15</v>
      </c>
      <c r="E20" s="14" t="s">
        <v>15</v>
      </c>
      <c r="F20" s="34" t="s">
        <v>16</v>
      </c>
      <c r="G20" s="14" t="s">
        <v>15</v>
      </c>
      <c r="H20" s="16" t="s">
        <v>15</v>
      </c>
      <c r="I20" s="60" t="s">
        <v>63</v>
      </c>
      <c r="J20" s="61">
        <v>17</v>
      </c>
      <c r="K20" s="19"/>
      <c r="L20" s="30">
        <v>23</v>
      </c>
      <c r="M20" s="43" t="s">
        <v>64</v>
      </c>
      <c r="N20" s="49">
        <v>3</v>
      </c>
      <c r="O20" s="44" t="s">
        <v>15</v>
      </c>
      <c r="P20" s="62" t="s">
        <v>16</v>
      </c>
      <c r="Q20" s="26" t="s">
        <v>19</v>
      </c>
      <c r="R20" s="45" t="s">
        <v>45</v>
      </c>
      <c r="S20" s="24" t="s">
        <v>65</v>
      </c>
      <c r="T20" s="81"/>
    </row>
    <row r="21" spans="2:20">
      <c r="B21" s="13" t="s">
        <v>62</v>
      </c>
      <c r="C21" s="13"/>
      <c r="D21" s="14" t="s">
        <v>15</v>
      </c>
      <c r="E21" s="14" t="s">
        <v>15</v>
      </c>
      <c r="F21" s="34" t="s">
        <v>16</v>
      </c>
      <c r="G21" s="14" t="s">
        <v>15</v>
      </c>
      <c r="H21" s="16" t="s">
        <v>15</v>
      </c>
      <c r="I21" s="60" t="s">
        <v>66</v>
      </c>
      <c r="J21" s="61">
        <v>18</v>
      </c>
      <c r="K21" s="19"/>
      <c r="L21" s="61">
        <v>22</v>
      </c>
      <c r="M21" s="63" t="s">
        <v>67</v>
      </c>
      <c r="N21" s="64" t="s">
        <v>15</v>
      </c>
      <c r="O21" s="14" t="s">
        <v>15</v>
      </c>
      <c r="P21" s="34" t="s">
        <v>16</v>
      </c>
      <c r="Q21" s="65" t="s">
        <v>15</v>
      </c>
      <c r="R21" s="65" t="s">
        <v>15</v>
      </c>
      <c r="S21" s="65"/>
      <c r="T21" s="13" t="s">
        <v>62</v>
      </c>
    </row>
    <row r="22" spans="2:20">
      <c r="B22" s="13" t="s">
        <v>62</v>
      </c>
      <c r="C22" s="13"/>
      <c r="D22" s="14" t="s">
        <v>15</v>
      </c>
      <c r="E22" s="14" t="s">
        <v>15</v>
      </c>
      <c r="F22" s="34" t="s">
        <v>16</v>
      </c>
      <c r="G22" s="14" t="s">
        <v>15</v>
      </c>
      <c r="H22" s="16" t="s">
        <v>15</v>
      </c>
      <c r="I22" s="60" t="s">
        <v>68</v>
      </c>
      <c r="J22" s="61">
        <v>19</v>
      </c>
      <c r="K22" s="19"/>
      <c r="L22" s="61">
        <v>21</v>
      </c>
      <c r="M22" s="63" t="s">
        <v>69</v>
      </c>
      <c r="N22" s="64" t="s">
        <v>15</v>
      </c>
      <c r="O22" s="14" t="s">
        <v>15</v>
      </c>
      <c r="P22" s="34" t="s">
        <v>16</v>
      </c>
      <c r="Q22" s="65" t="s">
        <v>15</v>
      </c>
      <c r="R22" s="65" t="s">
        <v>15</v>
      </c>
      <c r="S22" s="65"/>
      <c r="T22" s="13" t="s">
        <v>62</v>
      </c>
    </row>
    <row r="23" spans="2:20" ht="13.5" thickBot="1">
      <c r="B23" s="3" t="s">
        <v>70</v>
      </c>
      <c r="C23" s="3"/>
      <c r="D23" s="3"/>
      <c r="E23" s="3"/>
      <c r="F23" s="3"/>
      <c r="G23" s="3"/>
      <c r="H23" s="4"/>
      <c r="I23" s="66" t="s">
        <v>71</v>
      </c>
      <c r="J23" s="67" t="s">
        <v>36</v>
      </c>
      <c r="K23" s="68"/>
      <c r="L23" s="69">
        <v>20</v>
      </c>
      <c r="M23" s="70" t="s">
        <v>72</v>
      </c>
      <c r="N23" s="64" t="s">
        <v>15</v>
      </c>
      <c r="O23" s="14" t="s">
        <v>15</v>
      </c>
      <c r="P23" s="34" t="s">
        <v>16</v>
      </c>
      <c r="Q23" s="65" t="s">
        <v>15</v>
      </c>
      <c r="R23" s="65" t="s">
        <v>15</v>
      </c>
      <c r="S23" s="65"/>
      <c r="T23" s="13" t="s">
        <v>62</v>
      </c>
    </row>
    <row r="25" spans="2:20" ht="12.75" customHeight="1">
      <c r="B25" s="121" t="s">
        <v>73</v>
      </c>
      <c r="C25" s="122"/>
      <c r="E25" s="123" t="s">
        <v>74</v>
      </c>
      <c r="F25" s="124"/>
      <c r="G25" s="124"/>
      <c r="H25" s="124"/>
      <c r="I25" s="125"/>
      <c r="K25" s="121" t="s">
        <v>75</v>
      </c>
      <c r="L25" s="122"/>
      <c r="N25" s="129" t="s">
        <v>76</v>
      </c>
      <c r="O25" s="130"/>
      <c r="P25" s="130"/>
      <c r="Q25" s="130"/>
      <c r="R25" s="130"/>
      <c r="S25" s="130"/>
      <c r="T25" s="131"/>
    </row>
    <row r="26" spans="2:20">
      <c r="B26" s="132" t="s">
        <v>77</v>
      </c>
      <c r="C26" s="133"/>
      <c r="E26" s="126"/>
      <c r="F26" s="127"/>
      <c r="G26" s="127"/>
      <c r="H26" s="127"/>
      <c r="I26" s="128"/>
      <c r="K26" s="134" t="s">
        <v>78</v>
      </c>
      <c r="L26" s="135"/>
      <c r="N26" s="23" t="s">
        <v>19</v>
      </c>
      <c r="O26" s="71" t="s">
        <v>36</v>
      </c>
      <c r="P26" s="136" t="s">
        <v>79</v>
      </c>
      <c r="Q26" s="136"/>
      <c r="R26" s="136"/>
      <c r="S26" s="136"/>
      <c r="T26" s="137"/>
    </row>
    <row r="27" spans="2:20">
      <c r="B27" s="138" t="s">
        <v>80</v>
      </c>
      <c r="C27" s="139"/>
      <c r="E27" s="140" t="s">
        <v>81</v>
      </c>
      <c r="F27" s="141"/>
      <c r="G27" s="141"/>
      <c r="H27" s="141"/>
      <c r="I27" s="142"/>
      <c r="K27" s="143" t="s">
        <v>82</v>
      </c>
      <c r="L27" s="144"/>
      <c r="N27" s="26" t="s">
        <v>15</v>
      </c>
      <c r="O27" s="72" t="s">
        <v>36</v>
      </c>
      <c r="P27" s="145" t="s">
        <v>83</v>
      </c>
      <c r="Q27" s="145"/>
      <c r="R27" s="145"/>
      <c r="S27" s="145"/>
      <c r="T27" s="146"/>
    </row>
    <row r="28" spans="2:20">
      <c r="B28" s="147" t="s">
        <v>84</v>
      </c>
      <c r="C28" s="148"/>
      <c r="E28" s="149" t="s">
        <v>85</v>
      </c>
      <c r="F28" s="150"/>
      <c r="G28" s="150"/>
      <c r="H28" s="150"/>
      <c r="I28" s="151"/>
      <c r="K28" s="152" t="s">
        <v>86</v>
      </c>
      <c r="L28" s="153"/>
      <c r="N28" s="45" t="s">
        <v>45</v>
      </c>
      <c r="O28" s="72" t="s">
        <v>36</v>
      </c>
      <c r="P28" s="145" t="s">
        <v>87</v>
      </c>
      <c r="Q28" s="145"/>
      <c r="R28" s="145"/>
      <c r="S28" s="145"/>
      <c r="T28" s="146"/>
    </row>
    <row r="29" spans="2:20">
      <c r="B29" s="154" t="s">
        <v>88</v>
      </c>
      <c r="C29" s="155"/>
      <c r="E29" s="156"/>
      <c r="F29" s="156"/>
      <c r="G29" s="156"/>
      <c r="H29" s="156"/>
      <c r="I29" s="156"/>
      <c r="K29" s="157" t="s">
        <v>89</v>
      </c>
      <c r="L29" s="158"/>
      <c r="N29" s="26" t="s">
        <v>19</v>
      </c>
      <c r="O29" s="72" t="s">
        <v>36</v>
      </c>
      <c r="P29" s="145" t="s">
        <v>90</v>
      </c>
      <c r="Q29" s="145"/>
      <c r="R29" s="145"/>
      <c r="S29" s="145"/>
      <c r="T29" s="146"/>
    </row>
    <row r="30" spans="2:20">
      <c r="B30" s="159" t="s">
        <v>91</v>
      </c>
      <c r="C30" s="160"/>
      <c r="E30" s="161" t="s">
        <v>92</v>
      </c>
      <c r="F30" s="162"/>
      <c r="G30" s="162"/>
      <c r="H30" s="162"/>
      <c r="I30" s="163"/>
      <c r="K30" s="167" t="s">
        <v>93</v>
      </c>
      <c r="L30" s="168"/>
      <c r="N30" s="73">
        <v>0</v>
      </c>
      <c r="O30" s="74" t="s">
        <v>36</v>
      </c>
      <c r="P30" s="169" t="s">
        <v>94</v>
      </c>
      <c r="Q30" s="169"/>
      <c r="R30" s="169"/>
      <c r="S30" s="169"/>
      <c r="T30" s="170"/>
    </row>
    <row r="31" spans="2:20">
      <c r="E31" s="164"/>
      <c r="F31" s="165"/>
      <c r="G31" s="165"/>
      <c r="H31" s="165"/>
      <c r="I31" s="166"/>
    </row>
    <row r="32" spans="2:20">
      <c r="E32" s="171" t="s">
        <v>95</v>
      </c>
      <c r="F32" s="172"/>
      <c r="G32" s="172"/>
      <c r="H32" s="172"/>
      <c r="I32" s="173"/>
      <c r="N32" s="129" t="s">
        <v>96</v>
      </c>
      <c r="O32" s="130"/>
      <c r="P32" s="130"/>
      <c r="Q32" s="130"/>
      <c r="R32" s="130"/>
      <c r="S32" s="130"/>
      <c r="T32" s="131"/>
    </row>
    <row r="33" spans="5:20">
      <c r="E33" s="174" t="s">
        <v>97</v>
      </c>
      <c r="F33" s="175"/>
      <c r="G33" s="175"/>
      <c r="H33" s="175"/>
      <c r="I33" s="176"/>
      <c r="N33" s="34" t="s">
        <v>16</v>
      </c>
      <c r="O33" s="71" t="s">
        <v>36</v>
      </c>
      <c r="P33" s="136" t="s">
        <v>98</v>
      </c>
      <c r="Q33" s="136"/>
      <c r="R33" s="136"/>
      <c r="S33" s="136"/>
      <c r="T33" s="137"/>
    </row>
    <row r="34" spans="5:20">
      <c r="N34" s="57" t="s">
        <v>55</v>
      </c>
      <c r="O34" s="72" t="s">
        <v>36</v>
      </c>
      <c r="P34" s="145" t="s">
        <v>99</v>
      </c>
      <c r="Q34" s="145"/>
      <c r="R34" s="145"/>
      <c r="S34" s="145"/>
      <c r="T34" s="146"/>
    </row>
    <row r="35" spans="5:20">
      <c r="K35" s="75"/>
      <c r="N35" s="23" t="s">
        <v>19</v>
      </c>
      <c r="O35" s="72" t="s">
        <v>36</v>
      </c>
      <c r="P35" s="145" t="s">
        <v>100</v>
      </c>
      <c r="Q35" s="145"/>
      <c r="R35" s="145"/>
      <c r="S35" s="145"/>
      <c r="T35" s="146"/>
    </row>
    <row r="36" spans="5:20">
      <c r="N36" s="26" t="s">
        <v>15</v>
      </c>
      <c r="O36" s="74" t="s">
        <v>36</v>
      </c>
      <c r="P36" s="169" t="s">
        <v>101</v>
      </c>
      <c r="Q36" s="169"/>
      <c r="R36" s="169"/>
      <c r="S36" s="169"/>
      <c r="T36" s="170"/>
    </row>
  </sheetData>
  <mergeCells count="50">
    <mergeCell ref="P36:T36"/>
    <mergeCell ref="E32:I32"/>
    <mergeCell ref="N32:T32"/>
    <mergeCell ref="E33:I33"/>
    <mergeCell ref="P33:T33"/>
    <mergeCell ref="P34:T34"/>
    <mergeCell ref="P35:T35"/>
    <mergeCell ref="B29:C29"/>
    <mergeCell ref="E29:I29"/>
    <mergeCell ref="K29:L29"/>
    <mergeCell ref="P29:T29"/>
    <mergeCell ref="B30:C30"/>
    <mergeCell ref="E30:I31"/>
    <mergeCell ref="K30:L30"/>
    <mergeCell ref="P30:T30"/>
    <mergeCell ref="B27:C27"/>
    <mergeCell ref="E27:I27"/>
    <mergeCell ref="K27:L27"/>
    <mergeCell ref="P27:T27"/>
    <mergeCell ref="B28:C28"/>
    <mergeCell ref="E28:I28"/>
    <mergeCell ref="K28:L28"/>
    <mergeCell ref="P28:T28"/>
    <mergeCell ref="T2:T3"/>
    <mergeCell ref="B4:T4"/>
    <mergeCell ref="B25:C25"/>
    <mergeCell ref="E25:I26"/>
    <mergeCell ref="K25:L25"/>
    <mergeCell ref="N25:T25"/>
    <mergeCell ref="B26:C26"/>
    <mergeCell ref="K26:L26"/>
    <mergeCell ref="P26:T26"/>
    <mergeCell ref="N2:N3"/>
    <mergeCell ref="O2:O3"/>
    <mergeCell ref="P2:P3"/>
    <mergeCell ref="Q2:Q3"/>
    <mergeCell ref="R2:R3"/>
    <mergeCell ref="S2:S3"/>
    <mergeCell ref="H2:H3"/>
    <mergeCell ref="I2:I3"/>
    <mergeCell ref="J2:J3"/>
    <mergeCell ref="K2:K3"/>
    <mergeCell ref="L2:L3"/>
    <mergeCell ref="M2:M3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  <pageSetup paperSize="9" firstPageNumber="4294967295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S12"/>
  <sheetViews>
    <sheetView workbookViewId="0">
      <selection activeCell="R29" sqref="R29"/>
    </sheetView>
  </sheetViews>
  <sheetFormatPr defaultRowHeight="15"/>
  <cols>
    <col min="1" max="1" width="3.140625" customWidth="1"/>
    <col min="2" max="18" width="2.7109375" customWidth="1"/>
    <col min="19" max="19" width="45.42578125" bestFit="1" customWidth="1"/>
  </cols>
  <sheetData>
    <row r="1" spans="2:19" ht="15.75" thickBot="1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0</v>
      </c>
      <c r="M1">
        <v>1</v>
      </c>
      <c r="N1">
        <v>2</v>
      </c>
      <c r="O1">
        <v>3</v>
      </c>
      <c r="P1">
        <v>4</v>
      </c>
      <c r="Q1">
        <v>5</v>
      </c>
    </row>
    <row r="2" spans="2:19">
      <c r="B2" s="87" t="s">
        <v>105</v>
      </c>
      <c r="C2" s="76" t="s">
        <v>106</v>
      </c>
      <c r="D2" s="76" t="s">
        <v>107</v>
      </c>
      <c r="E2" s="86" t="s">
        <v>117</v>
      </c>
      <c r="F2" s="86" t="s">
        <v>104</v>
      </c>
      <c r="G2" s="77"/>
      <c r="H2" s="97" t="s">
        <v>125</v>
      </c>
      <c r="I2" s="79"/>
      <c r="J2" s="76" t="s">
        <v>108</v>
      </c>
      <c r="K2" s="86" t="s">
        <v>108</v>
      </c>
      <c r="L2" s="86" t="s">
        <v>107</v>
      </c>
      <c r="M2" s="86" t="s">
        <v>108</v>
      </c>
      <c r="N2" s="86" t="s">
        <v>108</v>
      </c>
      <c r="O2" s="86" t="s">
        <v>107</v>
      </c>
      <c r="P2" s="76" t="s">
        <v>108</v>
      </c>
      <c r="Q2" s="85" t="s">
        <v>108</v>
      </c>
      <c r="S2" s="109" t="s">
        <v>139</v>
      </c>
    </row>
    <row r="3" spans="2:19" ht="15.75" thickBot="1">
      <c r="B3" s="100" t="s">
        <v>116</v>
      </c>
      <c r="C3" s="98" t="s">
        <v>119</v>
      </c>
      <c r="D3" s="83" t="s">
        <v>102</v>
      </c>
      <c r="E3" s="99" t="s">
        <v>117</v>
      </c>
      <c r="F3" s="98" t="s">
        <v>119</v>
      </c>
      <c r="G3" s="80" t="s">
        <v>132</v>
      </c>
      <c r="H3" s="104" t="s">
        <v>133</v>
      </c>
      <c r="I3" s="80"/>
      <c r="J3" s="80" t="s">
        <v>134</v>
      </c>
      <c r="K3" s="80"/>
      <c r="L3" s="83" t="s">
        <v>118</v>
      </c>
      <c r="M3" s="83" t="s">
        <v>116</v>
      </c>
      <c r="N3" s="78" t="s">
        <v>117</v>
      </c>
      <c r="O3" s="78" t="s">
        <v>102</v>
      </c>
      <c r="P3" s="78" t="s">
        <v>117</v>
      </c>
      <c r="Q3" s="84" t="s">
        <v>103</v>
      </c>
    </row>
    <row r="4" spans="2:19" ht="15.75" thickBot="1"/>
    <row r="5" spans="2:19">
      <c r="B5" s="101" t="s">
        <v>128</v>
      </c>
      <c r="C5" s="76" t="s">
        <v>36</v>
      </c>
      <c r="D5" s="76" t="s">
        <v>108</v>
      </c>
      <c r="E5" s="108" t="s">
        <v>127</v>
      </c>
      <c r="F5" s="106"/>
      <c r="G5" s="102" t="s">
        <v>108</v>
      </c>
      <c r="H5" s="102" t="s">
        <v>108</v>
      </c>
      <c r="I5" s="102" t="s">
        <v>36</v>
      </c>
      <c r="J5" s="76" t="s">
        <v>116</v>
      </c>
      <c r="K5" s="76" t="s">
        <v>119</v>
      </c>
      <c r="L5" s="76" t="s">
        <v>132</v>
      </c>
      <c r="M5" s="102"/>
      <c r="N5" s="102" t="s">
        <v>108</v>
      </c>
      <c r="O5" s="106" t="s">
        <v>102</v>
      </c>
      <c r="P5" s="76" t="s">
        <v>108</v>
      </c>
      <c r="Q5" s="107" t="s">
        <v>127</v>
      </c>
      <c r="S5" s="109" t="s">
        <v>140</v>
      </c>
    </row>
    <row r="6" spans="2:19" ht="15.75" thickBot="1">
      <c r="B6" s="100" t="s">
        <v>116</v>
      </c>
      <c r="C6" s="98" t="s">
        <v>119</v>
      </c>
      <c r="D6" s="83" t="s">
        <v>102</v>
      </c>
      <c r="E6" s="99" t="s">
        <v>117</v>
      </c>
      <c r="F6" s="98" t="s">
        <v>119</v>
      </c>
      <c r="G6" s="99" t="s">
        <v>126</v>
      </c>
      <c r="H6" s="99" t="s">
        <v>127</v>
      </c>
      <c r="I6" s="80" t="s">
        <v>102</v>
      </c>
      <c r="J6" s="80" t="s">
        <v>117</v>
      </c>
      <c r="K6" s="80" t="s">
        <v>108</v>
      </c>
      <c r="L6" s="83" t="s">
        <v>118</v>
      </c>
      <c r="M6" s="83" t="s">
        <v>116</v>
      </c>
      <c r="N6" s="78" t="s">
        <v>117</v>
      </c>
      <c r="O6" s="78" t="s">
        <v>102</v>
      </c>
      <c r="P6" s="78" t="s">
        <v>117</v>
      </c>
      <c r="Q6" s="84" t="s">
        <v>103</v>
      </c>
    </row>
    <row r="7" spans="2:19" ht="15.75" thickBot="1"/>
    <row r="8" spans="2:19">
      <c r="B8" s="101" t="s">
        <v>128</v>
      </c>
      <c r="C8" s="76" t="s">
        <v>129</v>
      </c>
      <c r="D8" s="76" t="s">
        <v>130</v>
      </c>
      <c r="E8" s="102" t="s">
        <v>130</v>
      </c>
      <c r="F8" s="106"/>
      <c r="G8" s="106" t="s">
        <v>127</v>
      </c>
      <c r="H8" s="106" t="s">
        <v>108</v>
      </c>
      <c r="I8" s="79" t="s">
        <v>108</v>
      </c>
      <c r="J8" s="76" t="s">
        <v>132</v>
      </c>
      <c r="K8" s="106" t="s">
        <v>133</v>
      </c>
      <c r="L8" s="106"/>
      <c r="M8" s="102"/>
      <c r="N8" s="102" t="s">
        <v>108</v>
      </c>
      <c r="O8" s="106" t="s">
        <v>102</v>
      </c>
      <c r="P8" s="76" t="s">
        <v>108</v>
      </c>
      <c r="Q8" s="107" t="s">
        <v>127</v>
      </c>
      <c r="S8" s="109" t="s">
        <v>141</v>
      </c>
    </row>
    <row r="9" spans="2:19" ht="15.75" thickBot="1">
      <c r="B9" s="100" t="s">
        <v>104</v>
      </c>
      <c r="C9" s="98" t="s">
        <v>119</v>
      </c>
      <c r="D9" s="83" t="s">
        <v>102</v>
      </c>
      <c r="E9" s="99" t="s">
        <v>117</v>
      </c>
      <c r="F9" s="99" t="s">
        <v>108</v>
      </c>
      <c r="G9" s="99" t="s">
        <v>126</v>
      </c>
      <c r="H9" s="99" t="s">
        <v>127</v>
      </c>
      <c r="I9" s="80" t="s">
        <v>102</v>
      </c>
      <c r="J9" s="80" t="s">
        <v>117</v>
      </c>
      <c r="K9" s="80" t="s">
        <v>108</v>
      </c>
      <c r="L9" s="83" t="s">
        <v>118</v>
      </c>
      <c r="M9" s="99" t="s">
        <v>127</v>
      </c>
      <c r="N9" s="78" t="s">
        <v>108</v>
      </c>
      <c r="O9" s="78" t="s">
        <v>108</v>
      </c>
      <c r="P9" s="78" t="s">
        <v>102</v>
      </c>
      <c r="Q9" s="103" t="s">
        <v>108</v>
      </c>
    </row>
    <row r="10" spans="2:19" ht="15.75" thickBot="1"/>
    <row r="11" spans="2:19">
      <c r="B11" s="87" t="s">
        <v>105</v>
      </c>
      <c r="C11" s="76" t="s">
        <v>106</v>
      </c>
      <c r="D11" s="76" t="s">
        <v>107</v>
      </c>
      <c r="E11" s="86" t="s">
        <v>117</v>
      </c>
      <c r="F11" s="86" t="s">
        <v>104</v>
      </c>
      <c r="G11" s="77"/>
      <c r="H11" s="97" t="s">
        <v>125</v>
      </c>
      <c r="I11" s="79"/>
      <c r="J11" s="76" t="s">
        <v>108</v>
      </c>
      <c r="K11" s="86" t="s">
        <v>108</v>
      </c>
      <c r="L11" s="86" t="s">
        <v>107</v>
      </c>
      <c r="M11" s="86" t="s">
        <v>108</v>
      </c>
      <c r="N11" s="86" t="s">
        <v>108</v>
      </c>
      <c r="O11" s="86" t="s">
        <v>107</v>
      </c>
      <c r="P11" s="76" t="s">
        <v>108</v>
      </c>
      <c r="Q11" s="85" t="s">
        <v>108</v>
      </c>
      <c r="S11" s="109" t="s">
        <v>142</v>
      </c>
    </row>
    <row r="12" spans="2:19" ht="15.75" thickBot="1">
      <c r="B12" s="100" t="s">
        <v>134</v>
      </c>
      <c r="C12" s="105" t="s">
        <v>135</v>
      </c>
      <c r="D12" s="105" t="s">
        <v>131</v>
      </c>
      <c r="E12" s="105" t="s">
        <v>136</v>
      </c>
      <c r="F12" s="105" t="s">
        <v>137</v>
      </c>
      <c r="G12" s="80" t="s">
        <v>134</v>
      </c>
      <c r="H12" s="105" t="s">
        <v>136</v>
      </c>
      <c r="I12" s="80" t="s">
        <v>135</v>
      </c>
      <c r="J12" s="80" t="s">
        <v>138</v>
      </c>
      <c r="K12" s="83"/>
      <c r="L12" s="83" t="s">
        <v>118</v>
      </c>
      <c r="M12" s="83" t="s">
        <v>116</v>
      </c>
      <c r="N12" s="78" t="s">
        <v>117</v>
      </c>
      <c r="O12" s="78" t="s">
        <v>102</v>
      </c>
      <c r="P12" s="78" t="s">
        <v>117</v>
      </c>
      <c r="Q12" s="84" t="s">
        <v>103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6"/>
  <sheetViews>
    <sheetView workbookViewId="0">
      <selection activeCell="C27" sqref="C27"/>
    </sheetView>
  </sheetViews>
  <sheetFormatPr defaultRowHeight="15"/>
  <cols>
    <col min="1" max="1" width="9.140625" style="91"/>
    <col min="2" max="3" width="9.140625" style="89"/>
  </cols>
  <sheetData>
    <row r="1" spans="1:6">
      <c r="A1" s="90" t="s">
        <v>120</v>
      </c>
      <c r="B1" s="92" t="s">
        <v>121</v>
      </c>
      <c r="C1" s="92" t="s">
        <v>122</v>
      </c>
      <c r="D1" s="95" t="s">
        <v>123</v>
      </c>
      <c r="E1" t="s">
        <v>124</v>
      </c>
    </row>
    <row r="2" spans="1:6">
      <c r="A2" s="91">
        <v>0.13300000000000001</v>
      </c>
      <c r="B2" s="89">
        <v>32.880000000000003</v>
      </c>
      <c r="C2" s="89">
        <f>A2/0.1333333333</f>
        <v>0.99750000024937513</v>
      </c>
      <c r="D2">
        <v>3.85E-2</v>
      </c>
      <c r="E2">
        <f>B2+(759.94-C2)*$D$2</f>
        <v>62.099286249990399</v>
      </c>
      <c r="F2">
        <f t="shared" ref="F2:F11" si="0">100-E2</f>
        <v>37.900713750009601</v>
      </c>
    </row>
    <row r="3" spans="1:6">
      <c r="A3" s="91">
        <v>85</v>
      </c>
      <c r="B3" s="89">
        <v>95.15</v>
      </c>
      <c r="C3" s="89">
        <f t="shared" ref="C3:C46" si="1">A3/0.1333333333</f>
        <v>637.50000015937508</v>
      </c>
      <c r="E3">
        <f t="shared" ref="E3:E46" si="2">B3+(759.94-C3)*$D$2</f>
        <v>99.863939993864065</v>
      </c>
      <c r="F3">
        <f t="shared" si="0"/>
        <v>0.13606000613593494</v>
      </c>
    </row>
    <row r="4" spans="1:6">
      <c r="A4" s="91">
        <v>90</v>
      </c>
      <c r="B4" s="89">
        <v>96.71</v>
      </c>
      <c r="C4" s="89">
        <f t="shared" si="1"/>
        <v>675.00000016875003</v>
      </c>
      <c r="E4">
        <f t="shared" si="2"/>
        <v>99.980189993503117</v>
      </c>
      <c r="F4">
        <f t="shared" si="0"/>
        <v>1.9810006496882693E-2</v>
      </c>
    </row>
    <row r="5" spans="1:6">
      <c r="A5" s="91">
        <v>90.5</v>
      </c>
      <c r="B5" s="89">
        <v>96.87</v>
      </c>
      <c r="C5" s="89">
        <f t="shared" si="1"/>
        <v>678.7500001696875</v>
      </c>
      <c r="E5">
        <f t="shared" si="2"/>
        <v>99.995814993467036</v>
      </c>
      <c r="F5">
        <f t="shared" si="0"/>
        <v>4.1850065329640529E-3</v>
      </c>
    </row>
    <row r="6" spans="1:6">
      <c r="A6" s="91">
        <v>91</v>
      </c>
      <c r="B6" s="89">
        <v>97.02</v>
      </c>
      <c r="C6" s="89">
        <f t="shared" si="1"/>
        <v>682.50000017062507</v>
      </c>
      <c r="E6">
        <f t="shared" si="2"/>
        <v>100.00143999343094</v>
      </c>
      <c r="F6">
        <f t="shared" si="0"/>
        <v>-1.4399934309352602E-3</v>
      </c>
    </row>
    <row r="7" spans="1:6">
      <c r="A7" s="91">
        <v>91.5</v>
      </c>
      <c r="B7" s="89">
        <v>97.17</v>
      </c>
      <c r="C7" s="89">
        <f t="shared" si="1"/>
        <v>686.25000017156253</v>
      </c>
      <c r="E7">
        <f t="shared" si="2"/>
        <v>100.00706499339485</v>
      </c>
      <c r="F7">
        <f t="shared" si="0"/>
        <v>-7.0649933948487842E-3</v>
      </c>
    </row>
    <row r="8" spans="1:6">
      <c r="A8" s="91">
        <v>92</v>
      </c>
      <c r="B8" s="89">
        <v>97.32</v>
      </c>
      <c r="C8" s="89">
        <f t="shared" si="1"/>
        <v>690.00000017249999</v>
      </c>
      <c r="E8">
        <f t="shared" si="2"/>
        <v>100.01268999335875</v>
      </c>
      <c r="F8">
        <f t="shared" si="0"/>
        <v>-1.2689993358748097E-2</v>
      </c>
    </row>
    <row r="9" spans="1:6">
      <c r="A9" s="91">
        <v>92.5</v>
      </c>
      <c r="B9" s="89">
        <v>97.47</v>
      </c>
      <c r="C9" s="89">
        <f t="shared" si="1"/>
        <v>693.75000017343757</v>
      </c>
      <c r="E9">
        <f t="shared" si="2"/>
        <v>100.01831499332266</v>
      </c>
      <c r="F9">
        <f t="shared" si="0"/>
        <v>-1.8314993322661621E-2</v>
      </c>
    </row>
    <row r="10" spans="1:6">
      <c r="A10" s="91">
        <v>93</v>
      </c>
      <c r="B10" s="89">
        <v>97.62</v>
      </c>
      <c r="C10" s="89">
        <f t="shared" si="1"/>
        <v>697.50000017437503</v>
      </c>
      <c r="E10">
        <f t="shared" si="2"/>
        <v>100.02393999328658</v>
      </c>
      <c r="F10">
        <f t="shared" si="0"/>
        <v>-2.3939993286575145E-2</v>
      </c>
    </row>
    <row r="11" spans="1:6">
      <c r="A11" s="91">
        <v>93.5</v>
      </c>
      <c r="B11" s="89">
        <v>97.76</v>
      </c>
      <c r="C11" s="89">
        <f t="shared" si="1"/>
        <v>701.25000017531249</v>
      </c>
      <c r="E11" s="96">
        <f t="shared" si="2"/>
        <v>100.01956499325047</v>
      </c>
      <c r="F11" s="96">
        <f t="shared" si="0"/>
        <v>-1.9564993250469342E-2</v>
      </c>
    </row>
    <row r="12" spans="1:6">
      <c r="A12" s="91">
        <v>94</v>
      </c>
      <c r="B12" s="89">
        <v>97.91</v>
      </c>
      <c r="C12" s="89">
        <f t="shared" si="1"/>
        <v>705.00000017625007</v>
      </c>
      <c r="E12" s="96">
        <f t="shared" si="2"/>
        <v>100.02518999321437</v>
      </c>
      <c r="F12" s="96">
        <f t="shared" ref="F12:F46" si="3">100-E12</f>
        <v>-2.5189993214368656E-2</v>
      </c>
    </row>
    <row r="13" spans="1:6">
      <c r="A13" s="91">
        <v>94.5</v>
      </c>
      <c r="B13" s="89">
        <v>98.06</v>
      </c>
      <c r="C13" s="89">
        <f t="shared" si="1"/>
        <v>708.75000017718753</v>
      </c>
      <c r="E13" s="96">
        <f t="shared" si="2"/>
        <v>100.03081499317828</v>
      </c>
      <c r="F13" s="96">
        <f t="shared" si="3"/>
        <v>-3.081499317828218E-2</v>
      </c>
    </row>
    <row r="14" spans="1:6">
      <c r="A14" s="91">
        <v>95</v>
      </c>
      <c r="B14" s="89">
        <v>98.21</v>
      </c>
      <c r="C14" s="89">
        <f t="shared" si="1"/>
        <v>712.50000017812499</v>
      </c>
      <c r="E14" s="96">
        <f t="shared" si="2"/>
        <v>100.03643999314218</v>
      </c>
      <c r="F14" s="96">
        <f t="shared" si="3"/>
        <v>-3.6439993142181493E-2</v>
      </c>
    </row>
    <row r="15" spans="1:6">
      <c r="A15" s="91">
        <v>95.5</v>
      </c>
      <c r="B15" s="89">
        <v>98.35</v>
      </c>
      <c r="C15" s="89">
        <f t="shared" si="1"/>
        <v>716.25000017906257</v>
      </c>
      <c r="E15" s="96">
        <f t="shared" si="2"/>
        <v>100.03206499310609</v>
      </c>
      <c r="F15" s="96">
        <f t="shared" si="3"/>
        <v>-3.2064993106089901E-2</v>
      </c>
    </row>
    <row r="16" spans="1:6">
      <c r="A16" s="91">
        <v>96</v>
      </c>
      <c r="B16" s="89">
        <v>98.5</v>
      </c>
      <c r="C16" s="89">
        <f t="shared" si="1"/>
        <v>720.00000018000003</v>
      </c>
      <c r="E16" s="96">
        <f t="shared" si="2"/>
        <v>100.03768999307</v>
      </c>
      <c r="F16" s="96">
        <f t="shared" si="3"/>
        <v>-3.7689993070003425E-2</v>
      </c>
    </row>
    <row r="17" spans="1:6">
      <c r="A17" s="91">
        <v>96.5</v>
      </c>
      <c r="B17" s="89">
        <v>98.64</v>
      </c>
      <c r="C17" s="89">
        <f t="shared" si="1"/>
        <v>723.75000018093749</v>
      </c>
      <c r="E17" s="96">
        <f t="shared" si="2"/>
        <v>100.03331499303391</v>
      </c>
      <c r="F17" s="96">
        <f t="shared" si="3"/>
        <v>-3.3314993033911833E-2</v>
      </c>
    </row>
    <row r="18" spans="1:6">
      <c r="A18" s="91">
        <v>97</v>
      </c>
      <c r="B18" s="89">
        <v>98.78</v>
      </c>
      <c r="C18" s="89">
        <f t="shared" si="1"/>
        <v>727.50000018187507</v>
      </c>
      <c r="E18" s="96">
        <f t="shared" si="2"/>
        <v>100.02893999299781</v>
      </c>
      <c r="F18" s="96">
        <f t="shared" si="3"/>
        <v>-2.893999299780603E-2</v>
      </c>
    </row>
    <row r="19" spans="1:6">
      <c r="A19" s="91">
        <v>97.5</v>
      </c>
      <c r="B19" s="89">
        <v>98.93</v>
      </c>
      <c r="C19" s="89">
        <f t="shared" si="1"/>
        <v>731.25000018281253</v>
      </c>
      <c r="E19" s="96">
        <f t="shared" si="2"/>
        <v>100.03456499296172</v>
      </c>
      <c r="F19" s="96">
        <f t="shared" si="3"/>
        <v>-3.4564992961719554E-2</v>
      </c>
    </row>
    <row r="20" spans="1:6">
      <c r="A20" s="91">
        <v>98</v>
      </c>
      <c r="B20" s="89">
        <v>99.07</v>
      </c>
      <c r="C20" s="89">
        <f t="shared" si="1"/>
        <v>735.00000018374999</v>
      </c>
      <c r="E20" s="96">
        <f t="shared" si="2"/>
        <v>100.03018999292561</v>
      </c>
      <c r="F20" s="96">
        <f t="shared" si="3"/>
        <v>-3.0189992925613751E-2</v>
      </c>
    </row>
    <row r="21" spans="1:6">
      <c r="A21" s="91">
        <v>98.5</v>
      </c>
      <c r="B21" s="89">
        <v>99.21</v>
      </c>
      <c r="C21" s="89">
        <f t="shared" si="1"/>
        <v>738.75000018468756</v>
      </c>
      <c r="E21" s="96">
        <f t="shared" si="2"/>
        <v>100.02581499288952</v>
      </c>
      <c r="F21" s="96">
        <f t="shared" si="3"/>
        <v>-2.5814992889522159E-2</v>
      </c>
    </row>
    <row r="22" spans="1:6">
      <c r="A22" s="91">
        <v>99</v>
      </c>
      <c r="B22" s="89">
        <v>99.35</v>
      </c>
      <c r="C22" s="89">
        <f t="shared" si="1"/>
        <v>742.50000018562503</v>
      </c>
      <c r="E22" s="96">
        <f t="shared" si="2"/>
        <v>100.02143999285343</v>
      </c>
      <c r="F22" s="96">
        <f t="shared" si="3"/>
        <v>-2.1439992853430567E-2</v>
      </c>
    </row>
    <row r="23" spans="1:6">
      <c r="A23" s="91">
        <v>99.5</v>
      </c>
      <c r="B23" s="89">
        <v>99.49</v>
      </c>
      <c r="C23" s="89">
        <f t="shared" si="1"/>
        <v>746.25000018656249</v>
      </c>
      <c r="E23" s="96">
        <f t="shared" si="2"/>
        <v>100.01706499281734</v>
      </c>
      <c r="F23" s="96">
        <f t="shared" si="3"/>
        <v>-1.7064992817338975E-2</v>
      </c>
    </row>
    <row r="24" spans="1:6">
      <c r="A24" s="91">
        <v>100</v>
      </c>
      <c r="B24" s="89">
        <v>99.63</v>
      </c>
      <c r="C24" s="89">
        <f t="shared" si="1"/>
        <v>750.00000018750006</v>
      </c>
      <c r="E24" s="96">
        <f t="shared" si="2"/>
        <v>100.01268999278125</v>
      </c>
      <c r="F24" s="96">
        <f t="shared" si="3"/>
        <v>-1.2689992781247383E-2</v>
      </c>
    </row>
    <row r="25" spans="1:6">
      <c r="A25" s="91">
        <v>100.5</v>
      </c>
      <c r="B25" s="89">
        <v>99.77</v>
      </c>
      <c r="C25" s="89">
        <f t="shared" si="1"/>
        <v>753.75000018843753</v>
      </c>
      <c r="E25" s="96">
        <f t="shared" si="2"/>
        <v>100.00831499274516</v>
      </c>
      <c r="F25" s="96">
        <f t="shared" si="3"/>
        <v>-8.3149927451557915E-3</v>
      </c>
    </row>
    <row r="26" spans="1:6">
      <c r="A26" s="91">
        <v>101</v>
      </c>
      <c r="B26" s="89">
        <v>99.91</v>
      </c>
      <c r="C26" s="89">
        <f t="shared" si="1"/>
        <v>757.50000018937499</v>
      </c>
      <c r="E26" s="96">
        <f t="shared" si="2"/>
        <v>100.00393999270906</v>
      </c>
      <c r="F26" s="96">
        <f t="shared" si="3"/>
        <v>-3.9399927090641995E-3</v>
      </c>
    </row>
    <row r="27" spans="1:6">
      <c r="A27" s="93">
        <v>101.325</v>
      </c>
      <c r="B27" s="94">
        <v>100</v>
      </c>
      <c r="C27" s="89">
        <f t="shared" si="1"/>
        <v>759.93750018998446</v>
      </c>
      <c r="E27" s="96">
        <f t="shared" si="2"/>
        <v>100.0000962426856</v>
      </c>
      <c r="F27" s="96">
        <f t="shared" si="3"/>
        <v>-9.6242685600600453E-5</v>
      </c>
    </row>
    <row r="28" spans="1:6">
      <c r="A28" s="91">
        <v>101.5</v>
      </c>
      <c r="B28" s="89">
        <v>100.05</v>
      </c>
      <c r="C28" s="89">
        <f t="shared" si="1"/>
        <v>761.25000019031256</v>
      </c>
      <c r="E28" s="96">
        <f t="shared" si="2"/>
        <v>99.999564992672973</v>
      </c>
      <c r="F28" s="96">
        <f t="shared" si="3"/>
        <v>4.3500732702739242E-4</v>
      </c>
    </row>
    <row r="29" spans="1:6">
      <c r="A29" s="91">
        <v>102</v>
      </c>
      <c r="B29" s="89">
        <v>100.19</v>
      </c>
      <c r="C29" s="89">
        <f t="shared" si="1"/>
        <v>765.00000019125002</v>
      </c>
      <c r="E29" s="96">
        <f t="shared" si="2"/>
        <v>99.995189992636881</v>
      </c>
      <c r="F29" s="96">
        <f t="shared" si="3"/>
        <v>4.8100073631189844E-3</v>
      </c>
    </row>
    <row r="30" spans="1:6">
      <c r="A30" s="91">
        <v>102.5</v>
      </c>
      <c r="B30" s="89">
        <v>100.32</v>
      </c>
      <c r="C30" s="89">
        <f t="shared" si="1"/>
        <v>768.75000019218749</v>
      </c>
      <c r="E30" s="96">
        <f t="shared" si="2"/>
        <v>99.98081499260077</v>
      </c>
      <c r="F30" s="96">
        <f t="shared" si="3"/>
        <v>1.9185007399229903E-2</v>
      </c>
    </row>
    <row r="31" spans="1:6">
      <c r="A31" s="91">
        <v>103</v>
      </c>
      <c r="B31" s="89">
        <v>100.46</v>
      </c>
      <c r="C31" s="89">
        <f t="shared" si="1"/>
        <v>772.50000019312506</v>
      </c>
      <c r="E31" s="96">
        <f t="shared" si="2"/>
        <v>99.976439992564679</v>
      </c>
      <c r="F31" s="96">
        <f t="shared" si="3"/>
        <v>2.3560007435321495E-2</v>
      </c>
    </row>
    <row r="32" spans="1:6">
      <c r="A32" s="91">
        <v>103.5</v>
      </c>
      <c r="B32" s="89">
        <v>100.6</v>
      </c>
      <c r="C32" s="89">
        <f t="shared" si="1"/>
        <v>776.25000019406252</v>
      </c>
      <c r="E32" s="96">
        <f t="shared" si="2"/>
        <v>99.972064992528587</v>
      </c>
      <c r="F32" s="96">
        <f t="shared" si="3"/>
        <v>2.7935007471413087E-2</v>
      </c>
    </row>
    <row r="33" spans="1:7">
      <c r="A33" s="91">
        <v>104</v>
      </c>
      <c r="B33" s="89">
        <v>100.73</v>
      </c>
      <c r="C33" s="89">
        <f t="shared" si="1"/>
        <v>780.00000019499998</v>
      </c>
      <c r="E33" s="96">
        <f t="shared" si="2"/>
        <v>99.957689992492504</v>
      </c>
      <c r="F33" s="96">
        <f t="shared" si="3"/>
        <v>4.2310007507495584E-2</v>
      </c>
    </row>
    <row r="34" spans="1:7">
      <c r="A34" s="91">
        <v>104.5</v>
      </c>
      <c r="B34" s="89">
        <v>100.87</v>
      </c>
      <c r="C34" s="89">
        <f t="shared" si="1"/>
        <v>783.75000019593756</v>
      </c>
      <c r="E34" s="96">
        <f t="shared" si="2"/>
        <v>99.953314992456413</v>
      </c>
      <c r="F34" s="96">
        <f t="shared" si="3"/>
        <v>4.6685007543587176E-2</v>
      </c>
    </row>
    <row r="35" spans="1:7">
      <c r="A35" s="91">
        <v>105</v>
      </c>
      <c r="B35" s="89">
        <v>101</v>
      </c>
      <c r="C35" s="89">
        <f t="shared" si="1"/>
        <v>787.50000019687502</v>
      </c>
      <c r="E35" s="96">
        <f t="shared" si="2"/>
        <v>99.938939992420316</v>
      </c>
      <c r="F35" s="96">
        <f t="shared" si="3"/>
        <v>6.1060007579683884E-2</v>
      </c>
    </row>
    <row r="36" spans="1:7">
      <c r="A36" s="91">
        <v>105.5</v>
      </c>
      <c r="B36" s="89">
        <v>101.14</v>
      </c>
      <c r="C36" s="89">
        <f t="shared" si="1"/>
        <v>791.25000019781248</v>
      </c>
      <c r="E36" s="96">
        <f t="shared" si="2"/>
        <v>99.934564992384225</v>
      </c>
      <c r="F36" s="96">
        <f t="shared" si="3"/>
        <v>6.5435007615775476E-2</v>
      </c>
    </row>
    <row r="37" spans="1:7">
      <c r="A37" s="91">
        <v>106</v>
      </c>
      <c r="B37" s="89">
        <v>101.27</v>
      </c>
      <c r="C37" s="89">
        <f t="shared" si="1"/>
        <v>795.00000019875006</v>
      </c>
      <c r="E37" s="96">
        <f t="shared" si="2"/>
        <v>99.920189992348128</v>
      </c>
      <c r="F37" s="96">
        <f t="shared" si="3"/>
        <v>7.9810007651872183E-2</v>
      </c>
    </row>
    <row r="38" spans="1:7">
      <c r="A38" s="91">
        <v>106.5</v>
      </c>
      <c r="B38" s="89">
        <v>101.4</v>
      </c>
      <c r="C38" s="89">
        <f t="shared" si="1"/>
        <v>798.75000019968752</v>
      </c>
      <c r="E38" s="96">
        <f t="shared" si="2"/>
        <v>99.905814992312031</v>
      </c>
      <c r="F38" s="96">
        <f t="shared" si="3"/>
        <v>9.4185007687968891E-2</v>
      </c>
      <c r="G38">
        <f>AVERAGE(F11:F38)</f>
        <v>2.402641150738865E-3</v>
      </c>
    </row>
    <row r="39" spans="1:7">
      <c r="A39" s="91">
        <v>107</v>
      </c>
      <c r="B39" s="89">
        <v>101.54</v>
      </c>
      <c r="C39" s="89">
        <f t="shared" si="1"/>
        <v>802.50000020062498</v>
      </c>
      <c r="E39">
        <f t="shared" si="2"/>
        <v>99.901439992275954</v>
      </c>
      <c r="F39">
        <f t="shared" si="3"/>
        <v>9.8560007724046272E-2</v>
      </c>
    </row>
    <row r="40" spans="1:7">
      <c r="A40" s="91">
        <v>107.5</v>
      </c>
      <c r="B40" s="89">
        <v>101.67</v>
      </c>
      <c r="C40" s="89">
        <f t="shared" si="1"/>
        <v>806.25000020156256</v>
      </c>
      <c r="E40">
        <f t="shared" si="2"/>
        <v>99.887064992239843</v>
      </c>
      <c r="F40">
        <f t="shared" si="3"/>
        <v>0.11293500776015719</v>
      </c>
    </row>
    <row r="41" spans="1:7">
      <c r="A41" s="91">
        <v>108</v>
      </c>
      <c r="B41" s="89">
        <v>101.8</v>
      </c>
      <c r="C41" s="89">
        <f t="shared" si="1"/>
        <v>810.00000020250002</v>
      </c>
      <c r="E41">
        <f t="shared" si="2"/>
        <v>99.872689992203746</v>
      </c>
      <c r="F41">
        <f t="shared" si="3"/>
        <v>0.1273100077962539</v>
      </c>
    </row>
    <row r="42" spans="1:7">
      <c r="A42" s="91">
        <v>108.5</v>
      </c>
      <c r="B42" s="89">
        <v>101.93</v>
      </c>
      <c r="C42" s="89">
        <f t="shared" si="1"/>
        <v>813.75000020343748</v>
      </c>
      <c r="E42">
        <f t="shared" si="2"/>
        <v>99.858314992167664</v>
      </c>
      <c r="F42">
        <f t="shared" si="3"/>
        <v>0.1416850078323364</v>
      </c>
    </row>
    <row r="43" spans="1:7">
      <c r="A43" s="91">
        <v>109</v>
      </c>
      <c r="B43" s="89">
        <v>102.06</v>
      </c>
      <c r="C43" s="89">
        <f t="shared" si="1"/>
        <v>817.50000020437506</v>
      </c>
      <c r="E43">
        <f t="shared" si="2"/>
        <v>99.843939992131567</v>
      </c>
      <c r="F43">
        <f t="shared" si="3"/>
        <v>0.1560600078684331</v>
      </c>
    </row>
    <row r="44" spans="1:7">
      <c r="A44" s="91">
        <v>109.5</v>
      </c>
      <c r="B44" s="89">
        <v>102.19</v>
      </c>
      <c r="C44" s="89">
        <f t="shared" si="1"/>
        <v>821.25000020531252</v>
      </c>
      <c r="E44">
        <f t="shared" si="2"/>
        <v>99.82956499209547</v>
      </c>
      <c r="F44">
        <f t="shared" si="3"/>
        <v>0.17043500790452981</v>
      </c>
    </row>
    <row r="45" spans="1:7">
      <c r="A45" s="91">
        <v>110</v>
      </c>
      <c r="B45" s="89">
        <v>102.32</v>
      </c>
      <c r="C45" s="89">
        <f t="shared" si="1"/>
        <v>825.00000020624998</v>
      </c>
      <c r="E45">
        <f t="shared" si="2"/>
        <v>99.815189992059373</v>
      </c>
      <c r="F45">
        <f t="shared" si="3"/>
        <v>0.18481000794062652</v>
      </c>
    </row>
    <row r="46" spans="1:7">
      <c r="A46" s="91">
        <v>115</v>
      </c>
      <c r="B46" s="89">
        <v>103.59</v>
      </c>
      <c r="C46" s="89">
        <f t="shared" si="1"/>
        <v>862.50000021562505</v>
      </c>
      <c r="E46">
        <f t="shared" si="2"/>
        <v>99.641439991698448</v>
      </c>
      <c r="F46">
        <f t="shared" si="3"/>
        <v>0.3585600083015521</v>
      </c>
    </row>
  </sheetData>
  <pageMargins left="0.7" right="0.7" top="0.75" bottom="0.75" header="0.3" footer="0.3"/>
  <pageSetup paperSize="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R9"/>
  <sheetViews>
    <sheetView workbookViewId="0"/>
  </sheetViews>
  <sheetFormatPr defaultRowHeight="15"/>
  <sheetData>
    <row r="1" spans="1:200">
      <c r="A1" s="110" t="s">
        <v>147</v>
      </c>
      <c r="B1">
        <v>782</v>
      </c>
      <c r="C1">
        <v>784</v>
      </c>
      <c r="D1">
        <v>786</v>
      </c>
      <c r="E1">
        <v>788</v>
      </c>
      <c r="F1">
        <v>790</v>
      </c>
      <c r="G1">
        <v>792</v>
      </c>
      <c r="H1">
        <v>794</v>
      </c>
      <c r="I1">
        <v>796</v>
      </c>
      <c r="J1">
        <v>798</v>
      </c>
      <c r="K1">
        <v>800</v>
      </c>
      <c r="L1">
        <v>802</v>
      </c>
      <c r="M1">
        <v>804</v>
      </c>
      <c r="N1">
        <v>806</v>
      </c>
      <c r="O1">
        <v>808</v>
      </c>
      <c r="P1">
        <v>810</v>
      </c>
      <c r="Q1">
        <v>812</v>
      </c>
      <c r="R1">
        <v>814</v>
      </c>
      <c r="S1">
        <v>816</v>
      </c>
      <c r="T1">
        <v>818</v>
      </c>
      <c r="U1">
        <v>819</v>
      </c>
      <c r="V1">
        <v>820</v>
      </c>
      <c r="W1">
        <v>821</v>
      </c>
      <c r="X1">
        <v>822</v>
      </c>
      <c r="Y1">
        <v>823</v>
      </c>
      <c r="Z1">
        <v>824</v>
      </c>
      <c r="AA1">
        <v>825</v>
      </c>
      <c r="AB1">
        <v>826</v>
      </c>
      <c r="AC1">
        <v>827</v>
      </c>
      <c r="AD1">
        <v>828</v>
      </c>
      <c r="AE1">
        <v>829</v>
      </c>
      <c r="AF1">
        <v>830</v>
      </c>
      <c r="AG1">
        <v>831</v>
      </c>
      <c r="AH1">
        <v>832</v>
      </c>
      <c r="AI1">
        <v>833</v>
      </c>
      <c r="AJ1">
        <v>834</v>
      </c>
      <c r="AK1">
        <v>835</v>
      </c>
      <c r="AL1">
        <v>836</v>
      </c>
      <c r="AM1">
        <v>837</v>
      </c>
      <c r="AN1">
        <v>838</v>
      </c>
      <c r="AO1">
        <v>839</v>
      </c>
      <c r="AP1">
        <v>840</v>
      </c>
      <c r="AQ1">
        <v>841</v>
      </c>
      <c r="AR1">
        <v>842</v>
      </c>
      <c r="AS1">
        <v>843</v>
      </c>
      <c r="AT1">
        <v>844</v>
      </c>
      <c r="AU1">
        <v>845</v>
      </c>
      <c r="AV1">
        <v>846</v>
      </c>
      <c r="AW1">
        <v>847</v>
      </c>
      <c r="AX1">
        <v>848</v>
      </c>
      <c r="AY1">
        <v>849</v>
      </c>
      <c r="AZ1">
        <v>850</v>
      </c>
      <c r="BA1">
        <v>851</v>
      </c>
      <c r="BB1">
        <v>852</v>
      </c>
      <c r="BC1">
        <v>853</v>
      </c>
      <c r="BD1">
        <v>854</v>
      </c>
      <c r="BE1">
        <v>855</v>
      </c>
      <c r="BF1">
        <v>856</v>
      </c>
      <c r="BG1">
        <v>857</v>
      </c>
      <c r="BH1">
        <v>858</v>
      </c>
      <c r="BI1">
        <v>859</v>
      </c>
      <c r="BJ1">
        <v>860</v>
      </c>
      <c r="BK1">
        <v>861</v>
      </c>
      <c r="BL1">
        <v>862</v>
      </c>
      <c r="BM1">
        <v>863</v>
      </c>
      <c r="BN1">
        <v>864</v>
      </c>
      <c r="BO1">
        <v>865</v>
      </c>
      <c r="BP1">
        <v>866</v>
      </c>
      <c r="BQ1">
        <v>867</v>
      </c>
      <c r="BR1">
        <v>868</v>
      </c>
      <c r="BS1">
        <v>869</v>
      </c>
      <c r="BT1">
        <v>870</v>
      </c>
      <c r="BU1">
        <v>871</v>
      </c>
      <c r="BV1">
        <v>872</v>
      </c>
      <c r="BW1">
        <v>873</v>
      </c>
      <c r="BX1">
        <v>874</v>
      </c>
      <c r="BY1">
        <v>875</v>
      </c>
      <c r="BZ1">
        <v>876</v>
      </c>
      <c r="CA1">
        <v>877</v>
      </c>
      <c r="CB1">
        <v>878</v>
      </c>
      <c r="CC1">
        <v>879</v>
      </c>
      <c r="CD1">
        <v>880</v>
      </c>
      <c r="CE1">
        <v>881</v>
      </c>
      <c r="CF1">
        <v>882</v>
      </c>
      <c r="CG1">
        <v>883</v>
      </c>
      <c r="CH1">
        <v>884</v>
      </c>
      <c r="CI1">
        <v>885</v>
      </c>
      <c r="CJ1">
        <v>886</v>
      </c>
      <c r="CK1">
        <v>887</v>
      </c>
      <c r="CL1">
        <v>888</v>
      </c>
      <c r="CM1">
        <v>889</v>
      </c>
      <c r="CN1">
        <v>890</v>
      </c>
      <c r="CO1">
        <v>891</v>
      </c>
      <c r="CP1">
        <v>892</v>
      </c>
      <c r="CQ1">
        <v>893</v>
      </c>
      <c r="CR1">
        <v>894</v>
      </c>
      <c r="CS1">
        <v>895</v>
      </c>
      <c r="CT1">
        <v>896</v>
      </c>
      <c r="CU1">
        <v>897</v>
      </c>
      <c r="CV1">
        <v>898</v>
      </c>
      <c r="CW1">
        <v>899</v>
      </c>
      <c r="CX1">
        <v>900</v>
      </c>
      <c r="CY1">
        <v>901</v>
      </c>
      <c r="CZ1">
        <v>902</v>
      </c>
      <c r="DA1">
        <v>903</v>
      </c>
      <c r="DB1">
        <v>904</v>
      </c>
      <c r="DC1">
        <v>905</v>
      </c>
      <c r="DD1">
        <v>906</v>
      </c>
      <c r="DE1">
        <v>907</v>
      </c>
      <c r="DF1">
        <v>908</v>
      </c>
      <c r="DG1">
        <v>909</v>
      </c>
      <c r="DH1">
        <v>910</v>
      </c>
      <c r="DI1">
        <v>911</v>
      </c>
      <c r="DJ1">
        <v>912</v>
      </c>
      <c r="DK1">
        <v>913</v>
      </c>
      <c r="DL1">
        <v>914</v>
      </c>
      <c r="DM1">
        <v>915</v>
      </c>
      <c r="DN1">
        <v>916</v>
      </c>
      <c r="DO1">
        <v>917</v>
      </c>
      <c r="DP1">
        <v>918</v>
      </c>
      <c r="DQ1">
        <v>919</v>
      </c>
      <c r="DR1">
        <v>920</v>
      </c>
      <c r="DS1">
        <v>921</v>
      </c>
      <c r="DT1">
        <v>922</v>
      </c>
      <c r="DU1">
        <v>923</v>
      </c>
      <c r="DV1">
        <v>924</v>
      </c>
      <c r="DW1">
        <v>925</v>
      </c>
      <c r="DX1">
        <v>926</v>
      </c>
      <c r="DY1">
        <v>927</v>
      </c>
      <c r="DZ1">
        <v>928</v>
      </c>
      <c r="EA1">
        <v>929</v>
      </c>
      <c r="EB1">
        <v>930</v>
      </c>
      <c r="EC1">
        <v>931</v>
      </c>
      <c r="ED1">
        <v>932</v>
      </c>
      <c r="EE1">
        <v>933</v>
      </c>
      <c r="EF1">
        <v>934</v>
      </c>
      <c r="EG1">
        <v>935</v>
      </c>
      <c r="EH1">
        <v>936</v>
      </c>
      <c r="EI1">
        <v>937</v>
      </c>
      <c r="EJ1">
        <v>938</v>
      </c>
      <c r="EK1">
        <v>939</v>
      </c>
      <c r="EL1">
        <v>940</v>
      </c>
      <c r="EM1">
        <v>941</v>
      </c>
      <c r="EN1">
        <v>942</v>
      </c>
      <c r="EO1">
        <v>943</v>
      </c>
      <c r="EP1">
        <v>944</v>
      </c>
      <c r="EQ1">
        <v>945</v>
      </c>
      <c r="ER1">
        <v>946</v>
      </c>
      <c r="ES1">
        <v>947</v>
      </c>
      <c r="ET1">
        <v>948</v>
      </c>
      <c r="EU1">
        <v>949</v>
      </c>
      <c r="EV1">
        <v>950</v>
      </c>
      <c r="EW1">
        <v>951</v>
      </c>
      <c r="EX1">
        <v>952</v>
      </c>
      <c r="EY1">
        <v>953</v>
      </c>
      <c r="EZ1">
        <v>954</v>
      </c>
      <c r="FA1">
        <v>955</v>
      </c>
      <c r="FB1">
        <v>956</v>
      </c>
      <c r="FC1">
        <v>957</v>
      </c>
      <c r="FD1">
        <v>958</v>
      </c>
      <c r="FE1">
        <v>959</v>
      </c>
      <c r="FF1">
        <v>960</v>
      </c>
      <c r="FG1">
        <v>961</v>
      </c>
      <c r="FH1">
        <v>962</v>
      </c>
      <c r="FI1">
        <v>963</v>
      </c>
      <c r="FJ1">
        <v>964</v>
      </c>
      <c r="FK1">
        <v>965</v>
      </c>
      <c r="FL1">
        <v>966</v>
      </c>
      <c r="FM1">
        <v>967</v>
      </c>
      <c r="FN1">
        <v>968</v>
      </c>
      <c r="FO1">
        <v>969</v>
      </c>
      <c r="FP1">
        <v>970</v>
      </c>
      <c r="FQ1">
        <v>971</v>
      </c>
      <c r="FR1">
        <v>972</v>
      </c>
      <c r="FS1">
        <v>973</v>
      </c>
      <c r="FT1">
        <v>974</v>
      </c>
      <c r="FU1">
        <v>975</v>
      </c>
      <c r="FV1">
        <v>976</v>
      </c>
      <c r="FW1">
        <v>977</v>
      </c>
      <c r="FX1">
        <v>978</v>
      </c>
      <c r="FY1">
        <v>979</v>
      </c>
      <c r="FZ1">
        <v>980</v>
      </c>
      <c r="GA1">
        <v>981</v>
      </c>
      <c r="GB1">
        <v>982</v>
      </c>
      <c r="GC1">
        <v>983</v>
      </c>
      <c r="GD1">
        <v>984</v>
      </c>
      <c r="GE1">
        <v>985</v>
      </c>
      <c r="GF1">
        <v>986</v>
      </c>
      <c r="GG1">
        <v>987</v>
      </c>
      <c r="GH1">
        <v>988</v>
      </c>
      <c r="GI1">
        <v>989</v>
      </c>
      <c r="GJ1">
        <v>990</v>
      </c>
      <c r="GK1">
        <v>991</v>
      </c>
      <c r="GL1">
        <v>992</v>
      </c>
      <c r="GM1">
        <v>993</v>
      </c>
      <c r="GN1">
        <v>994</v>
      </c>
      <c r="GO1">
        <v>995</v>
      </c>
      <c r="GP1">
        <v>996</v>
      </c>
      <c r="GQ1">
        <v>997</v>
      </c>
      <c r="GR1">
        <v>1000</v>
      </c>
    </row>
    <row r="2" spans="1:200" s="111" customFormat="1">
      <c r="A2" s="111" t="s">
        <v>148</v>
      </c>
      <c r="B2" s="111">
        <f>B1/10</f>
        <v>78.2</v>
      </c>
      <c r="C2" s="111">
        <f t="shared" ref="C2:BN2" si="0">C1/10</f>
        <v>78.400000000000006</v>
      </c>
      <c r="D2" s="111">
        <f t="shared" si="0"/>
        <v>78.599999999999994</v>
      </c>
      <c r="E2" s="111">
        <f t="shared" si="0"/>
        <v>78.8</v>
      </c>
      <c r="F2" s="111">
        <f t="shared" si="0"/>
        <v>79</v>
      </c>
      <c r="G2" s="111">
        <f t="shared" si="0"/>
        <v>79.2</v>
      </c>
      <c r="H2" s="111">
        <f t="shared" si="0"/>
        <v>79.400000000000006</v>
      </c>
      <c r="I2" s="111">
        <f t="shared" si="0"/>
        <v>79.599999999999994</v>
      </c>
      <c r="J2" s="111">
        <f t="shared" si="0"/>
        <v>79.8</v>
      </c>
      <c r="K2" s="111">
        <f t="shared" si="0"/>
        <v>80</v>
      </c>
      <c r="L2" s="111">
        <f t="shared" si="0"/>
        <v>80.2</v>
      </c>
      <c r="M2" s="111">
        <f t="shared" si="0"/>
        <v>80.400000000000006</v>
      </c>
      <c r="N2" s="111">
        <f t="shared" si="0"/>
        <v>80.599999999999994</v>
      </c>
      <c r="O2" s="111">
        <f t="shared" si="0"/>
        <v>80.8</v>
      </c>
      <c r="P2" s="111">
        <f t="shared" si="0"/>
        <v>81</v>
      </c>
      <c r="Q2" s="111">
        <f t="shared" si="0"/>
        <v>81.2</v>
      </c>
      <c r="R2" s="111">
        <f t="shared" si="0"/>
        <v>81.400000000000006</v>
      </c>
      <c r="S2" s="111">
        <f t="shared" si="0"/>
        <v>81.599999999999994</v>
      </c>
      <c r="T2" s="111">
        <f t="shared" si="0"/>
        <v>81.8</v>
      </c>
      <c r="U2" s="111">
        <f t="shared" si="0"/>
        <v>81.900000000000006</v>
      </c>
      <c r="V2" s="111">
        <f t="shared" si="0"/>
        <v>82</v>
      </c>
      <c r="W2" s="111">
        <f t="shared" si="0"/>
        <v>82.1</v>
      </c>
      <c r="X2" s="111">
        <f t="shared" si="0"/>
        <v>82.2</v>
      </c>
      <c r="Y2" s="111">
        <f t="shared" si="0"/>
        <v>82.3</v>
      </c>
      <c r="Z2" s="111">
        <f t="shared" si="0"/>
        <v>82.4</v>
      </c>
      <c r="AA2" s="111">
        <f t="shared" si="0"/>
        <v>82.5</v>
      </c>
      <c r="AB2" s="111">
        <f t="shared" si="0"/>
        <v>82.6</v>
      </c>
      <c r="AC2" s="111">
        <f t="shared" si="0"/>
        <v>82.7</v>
      </c>
      <c r="AD2" s="111">
        <f t="shared" si="0"/>
        <v>82.8</v>
      </c>
      <c r="AE2" s="111">
        <f t="shared" si="0"/>
        <v>82.9</v>
      </c>
      <c r="AF2" s="111">
        <f t="shared" si="0"/>
        <v>83</v>
      </c>
      <c r="AG2" s="111">
        <f t="shared" si="0"/>
        <v>83.1</v>
      </c>
      <c r="AH2" s="111">
        <f t="shared" si="0"/>
        <v>83.2</v>
      </c>
      <c r="AI2" s="111">
        <f t="shared" si="0"/>
        <v>83.3</v>
      </c>
      <c r="AJ2" s="111">
        <f t="shared" si="0"/>
        <v>83.4</v>
      </c>
      <c r="AK2" s="111">
        <f t="shared" si="0"/>
        <v>83.5</v>
      </c>
      <c r="AL2" s="111">
        <f t="shared" si="0"/>
        <v>83.6</v>
      </c>
      <c r="AM2" s="111">
        <f t="shared" si="0"/>
        <v>83.7</v>
      </c>
      <c r="AN2" s="111">
        <f t="shared" si="0"/>
        <v>83.8</v>
      </c>
      <c r="AO2" s="111">
        <f t="shared" si="0"/>
        <v>83.9</v>
      </c>
      <c r="AP2" s="111">
        <f t="shared" si="0"/>
        <v>84</v>
      </c>
      <c r="AQ2" s="111">
        <f t="shared" si="0"/>
        <v>84.1</v>
      </c>
      <c r="AR2" s="111">
        <f t="shared" si="0"/>
        <v>84.2</v>
      </c>
      <c r="AS2" s="111">
        <f t="shared" si="0"/>
        <v>84.3</v>
      </c>
      <c r="AT2" s="111">
        <f t="shared" si="0"/>
        <v>84.4</v>
      </c>
      <c r="AU2" s="111">
        <f t="shared" si="0"/>
        <v>84.5</v>
      </c>
      <c r="AV2" s="111">
        <f t="shared" si="0"/>
        <v>84.6</v>
      </c>
      <c r="AW2" s="111">
        <f t="shared" si="0"/>
        <v>84.7</v>
      </c>
      <c r="AX2" s="111">
        <f t="shared" si="0"/>
        <v>84.8</v>
      </c>
      <c r="AY2" s="111">
        <f t="shared" si="0"/>
        <v>84.9</v>
      </c>
      <c r="AZ2" s="111">
        <f t="shared" si="0"/>
        <v>85</v>
      </c>
      <c r="BA2" s="111">
        <f t="shared" si="0"/>
        <v>85.1</v>
      </c>
      <c r="BB2" s="111">
        <f t="shared" si="0"/>
        <v>85.2</v>
      </c>
      <c r="BC2" s="111">
        <f t="shared" si="0"/>
        <v>85.3</v>
      </c>
      <c r="BD2" s="111">
        <f t="shared" si="0"/>
        <v>85.4</v>
      </c>
      <c r="BE2" s="111">
        <f t="shared" si="0"/>
        <v>85.5</v>
      </c>
      <c r="BF2" s="111">
        <f t="shared" si="0"/>
        <v>85.6</v>
      </c>
      <c r="BG2" s="111">
        <f t="shared" si="0"/>
        <v>85.7</v>
      </c>
      <c r="BH2" s="111">
        <f t="shared" si="0"/>
        <v>85.8</v>
      </c>
      <c r="BI2" s="111">
        <f t="shared" si="0"/>
        <v>85.9</v>
      </c>
      <c r="BJ2" s="111">
        <f t="shared" si="0"/>
        <v>86</v>
      </c>
      <c r="BK2" s="111">
        <f t="shared" si="0"/>
        <v>86.1</v>
      </c>
      <c r="BL2" s="111">
        <f t="shared" si="0"/>
        <v>86.2</v>
      </c>
      <c r="BM2" s="111">
        <f t="shared" si="0"/>
        <v>86.3</v>
      </c>
      <c r="BN2" s="111">
        <f t="shared" si="0"/>
        <v>86.4</v>
      </c>
      <c r="BO2" s="111">
        <f t="shared" ref="BO2:DZ2" si="1">BO1/10</f>
        <v>86.5</v>
      </c>
      <c r="BP2" s="111">
        <f t="shared" si="1"/>
        <v>86.6</v>
      </c>
      <c r="BQ2" s="111">
        <f t="shared" si="1"/>
        <v>86.7</v>
      </c>
      <c r="BR2" s="111">
        <f t="shared" si="1"/>
        <v>86.8</v>
      </c>
      <c r="BS2" s="111">
        <f t="shared" si="1"/>
        <v>86.9</v>
      </c>
      <c r="BT2" s="111">
        <f t="shared" si="1"/>
        <v>87</v>
      </c>
      <c r="BU2" s="111">
        <f t="shared" si="1"/>
        <v>87.1</v>
      </c>
      <c r="BV2" s="111">
        <f t="shared" si="1"/>
        <v>87.2</v>
      </c>
      <c r="BW2" s="111">
        <f t="shared" si="1"/>
        <v>87.3</v>
      </c>
      <c r="BX2" s="111">
        <f t="shared" si="1"/>
        <v>87.4</v>
      </c>
      <c r="BY2" s="111">
        <f t="shared" si="1"/>
        <v>87.5</v>
      </c>
      <c r="BZ2" s="111">
        <f t="shared" si="1"/>
        <v>87.6</v>
      </c>
      <c r="CA2" s="111">
        <f t="shared" si="1"/>
        <v>87.7</v>
      </c>
      <c r="CB2" s="111">
        <f t="shared" si="1"/>
        <v>87.8</v>
      </c>
      <c r="CC2" s="111">
        <f t="shared" si="1"/>
        <v>87.9</v>
      </c>
      <c r="CD2" s="111">
        <f t="shared" si="1"/>
        <v>88</v>
      </c>
      <c r="CE2" s="111">
        <f t="shared" si="1"/>
        <v>88.1</v>
      </c>
      <c r="CF2" s="111">
        <f t="shared" si="1"/>
        <v>88.2</v>
      </c>
      <c r="CG2" s="111">
        <f t="shared" si="1"/>
        <v>88.3</v>
      </c>
      <c r="CH2" s="111">
        <f t="shared" si="1"/>
        <v>88.4</v>
      </c>
      <c r="CI2" s="111">
        <f t="shared" si="1"/>
        <v>88.5</v>
      </c>
      <c r="CJ2" s="111">
        <f t="shared" si="1"/>
        <v>88.6</v>
      </c>
      <c r="CK2" s="111">
        <f t="shared" si="1"/>
        <v>88.7</v>
      </c>
      <c r="CL2" s="111">
        <f t="shared" si="1"/>
        <v>88.8</v>
      </c>
      <c r="CM2" s="111">
        <f t="shared" si="1"/>
        <v>88.9</v>
      </c>
      <c r="CN2" s="111">
        <f t="shared" si="1"/>
        <v>89</v>
      </c>
      <c r="CO2" s="111">
        <f t="shared" si="1"/>
        <v>89.1</v>
      </c>
      <c r="CP2" s="111">
        <f t="shared" si="1"/>
        <v>89.2</v>
      </c>
      <c r="CQ2" s="111">
        <f t="shared" si="1"/>
        <v>89.3</v>
      </c>
      <c r="CR2" s="111">
        <f t="shared" si="1"/>
        <v>89.4</v>
      </c>
      <c r="CS2" s="111">
        <f t="shared" si="1"/>
        <v>89.5</v>
      </c>
      <c r="CT2" s="111">
        <f t="shared" si="1"/>
        <v>89.6</v>
      </c>
      <c r="CU2" s="111">
        <f t="shared" si="1"/>
        <v>89.7</v>
      </c>
      <c r="CV2" s="111">
        <f t="shared" si="1"/>
        <v>89.8</v>
      </c>
      <c r="CW2" s="111">
        <f t="shared" si="1"/>
        <v>89.9</v>
      </c>
      <c r="CX2" s="111">
        <f t="shared" si="1"/>
        <v>90</v>
      </c>
      <c r="CY2" s="111">
        <f t="shared" si="1"/>
        <v>90.1</v>
      </c>
      <c r="CZ2" s="111">
        <f t="shared" si="1"/>
        <v>90.2</v>
      </c>
      <c r="DA2" s="111">
        <f t="shared" si="1"/>
        <v>90.3</v>
      </c>
      <c r="DB2" s="111">
        <f t="shared" si="1"/>
        <v>90.4</v>
      </c>
      <c r="DC2" s="111">
        <f t="shared" si="1"/>
        <v>90.5</v>
      </c>
      <c r="DD2" s="111">
        <f t="shared" si="1"/>
        <v>90.6</v>
      </c>
      <c r="DE2" s="111">
        <f t="shared" si="1"/>
        <v>90.7</v>
      </c>
      <c r="DF2" s="111">
        <f t="shared" si="1"/>
        <v>90.8</v>
      </c>
      <c r="DG2" s="111">
        <f t="shared" si="1"/>
        <v>90.9</v>
      </c>
      <c r="DH2" s="111">
        <f t="shared" si="1"/>
        <v>91</v>
      </c>
      <c r="DI2" s="111">
        <f t="shared" si="1"/>
        <v>91.1</v>
      </c>
      <c r="DJ2" s="111">
        <f t="shared" si="1"/>
        <v>91.2</v>
      </c>
      <c r="DK2" s="111">
        <f t="shared" si="1"/>
        <v>91.3</v>
      </c>
      <c r="DL2" s="111">
        <f t="shared" si="1"/>
        <v>91.4</v>
      </c>
      <c r="DM2" s="111">
        <f t="shared" si="1"/>
        <v>91.5</v>
      </c>
      <c r="DN2" s="111">
        <f t="shared" si="1"/>
        <v>91.6</v>
      </c>
      <c r="DO2" s="111">
        <f t="shared" si="1"/>
        <v>91.7</v>
      </c>
      <c r="DP2" s="111">
        <f t="shared" si="1"/>
        <v>91.8</v>
      </c>
      <c r="DQ2" s="111">
        <f t="shared" si="1"/>
        <v>91.9</v>
      </c>
      <c r="DR2" s="111">
        <f t="shared" si="1"/>
        <v>92</v>
      </c>
      <c r="DS2" s="111">
        <f t="shared" si="1"/>
        <v>92.1</v>
      </c>
      <c r="DT2" s="111">
        <f t="shared" si="1"/>
        <v>92.2</v>
      </c>
      <c r="DU2" s="111">
        <f t="shared" si="1"/>
        <v>92.3</v>
      </c>
      <c r="DV2" s="111">
        <f t="shared" si="1"/>
        <v>92.4</v>
      </c>
      <c r="DW2" s="111">
        <f t="shared" si="1"/>
        <v>92.5</v>
      </c>
      <c r="DX2" s="111">
        <f t="shared" si="1"/>
        <v>92.6</v>
      </c>
      <c r="DY2" s="111">
        <f t="shared" si="1"/>
        <v>92.7</v>
      </c>
      <c r="DZ2" s="111">
        <f t="shared" si="1"/>
        <v>92.8</v>
      </c>
      <c r="EA2" s="111">
        <f t="shared" ref="EA2:GL2" si="2">EA1/10</f>
        <v>92.9</v>
      </c>
      <c r="EB2" s="111">
        <f t="shared" si="2"/>
        <v>93</v>
      </c>
      <c r="EC2" s="111">
        <f t="shared" si="2"/>
        <v>93.1</v>
      </c>
      <c r="ED2" s="111">
        <f t="shared" si="2"/>
        <v>93.2</v>
      </c>
      <c r="EE2" s="111">
        <f t="shared" si="2"/>
        <v>93.3</v>
      </c>
      <c r="EF2" s="111">
        <f t="shared" si="2"/>
        <v>93.4</v>
      </c>
      <c r="EG2" s="111">
        <f t="shared" si="2"/>
        <v>93.5</v>
      </c>
      <c r="EH2" s="111">
        <f t="shared" si="2"/>
        <v>93.6</v>
      </c>
      <c r="EI2" s="111">
        <f t="shared" si="2"/>
        <v>93.7</v>
      </c>
      <c r="EJ2" s="111">
        <f t="shared" si="2"/>
        <v>93.8</v>
      </c>
      <c r="EK2" s="111">
        <f t="shared" si="2"/>
        <v>93.9</v>
      </c>
      <c r="EL2" s="111">
        <f t="shared" si="2"/>
        <v>94</v>
      </c>
      <c r="EM2" s="111">
        <f t="shared" si="2"/>
        <v>94.1</v>
      </c>
      <c r="EN2" s="111">
        <f t="shared" si="2"/>
        <v>94.2</v>
      </c>
      <c r="EO2" s="111">
        <f t="shared" si="2"/>
        <v>94.3</v>
      </c>
      <c r="EP2" s="111">
        <f t="shared" si="2"/>
        <v>94.4</v>
      </c>
      <c r="EQ2" s="111">
        <f t="shared" si="2"/>
        <v>94.5</v>
      </c>
      <c r="ER2" s="111">
        <f t="shared" si="2"/>
        <v>94.6</v>
      </c>
      <c r="ES2" s="111">
        <f t="shared" si="2"/>
        <v>94.7</v>
      </c>
      <c r="ET2" s="111">
        <f t="shared" si="2"/>
        <v>94.8</v>
      </c>
      <c r="EU2" s="111">
        <f t="shared" si="2"/>
        <v>94.9</v>
      </c>
      <c r="EV2" s="111">
        <f t="shared" si="2"/>
        <v>95</v>
      </c>
      <c r="EW2" s="111">
        <f t="shared" si="2"/>
        <v>95.1</v>
      </c>
      <c r="EX2" s="111">
        <f t="shared" si="2"/>
        <v>95.2</v>
      </c>
      <c r="EY2" s="111">
        <f t="shared" si="2"/>
        <v>95.3</v>
      </c>
      <c r="EZ2" s="111">
        <f t="shared" si="2"/>
        <v>95.4</v>
      </c>
      <c r="FA2" s="111">
        <f t="shared" si="2"/>
        <v>95.5</v>
      </c>
      <c r="FB2" s="111">
        <f t="shared" si="2"/>
        <v>95.6</v>
      </c>
      <c r="FC2" s="111">
        <f t="shared" si="2"/>
        <v>95.7</v>
      </c>
      <c r="FD2" s="111">
        <f t="shared" si="2"/>
        <v>95.8</v>
      </c>
      <c r="FE2" s="111">
        <f t="shared" si="2"/>
        <v>95.9</v>
      </c>
      <c r="FF2" s="111">
        <f t="shared" si="2"/>
        <v>96</v>
      </c>
      <c r="FG2" s="111">
        <f t="shared" si="2"/>
        <v>96.1</v>
      </c>
      <c r="FH2" s="111">
        <f t="shared" si="2"/>
        <v>96.2</v>
      </c>
      <c r="FI2" s="111">
        <f t="shared" si="2"/>
        <v>96.3</v>
      </c>
      <c r="FJ2" s="111">
        <f t="shared" si="2"/>
        <v>96.4</v>
      </c>
      <c r="FK2" s="111">
        <f t="shared" si="2"/>
        <v>96.5</v>
      </c>
      <c r="FL2" s="111">
        <f t="shared" si="2"/>
        <v>96.6</v>
      </c>
      <c r="FM2" s="111">
        <f t="shared" si="2"/>
        <v>96.7</v>
      </c>
      <c r="FN2" s="111">
        <f t="shared" si="2"/>
        <v>96.8</v>
      </c>
      <c r="FO2" s="111">
        <f t="shared" si="2"/>
        <v>96.9</v>
      </c>
      <c r="FP2" s="111">
        <f t="shared" si="2"/>
        <v>97</v>
      </c>
      <c r="FQ2" s="111">
        <f t="shared" si="2"/>
        <v>97.1</v>
      </c>
      <c r="FR2" s="111">
        <f t="shared" si="2"/>
        <v>97.2</v>
      </c>
      <c r="FS2" s="111">
        <f t="shared" si="2"/>
        <v>97.3</v>
      </c>
      <c r="FT2" s="111">
        <f t="shared" si="2"/>
        <v>97.4</v>
      </c>
      <c r="FU2" s="111">
        <f t="shared" si="2"/>
        <v>97.5</v>
      </c>
      <c r="FV2" s="111">
        <f t="shared" si="2"/>
        <v>97.6</v>
      </c>
      <c r="FW2" s="111">
        <f t="shared" si="2"/>
        <v>97.7</v>
      </c>
      <c r="FX2" s="111">
        <f t="shared" si="2"/>
        <v>97.8</v>
      </c>
      <c r="FY2" s="111">
        <f t="shared" si="2"/>
        <v>97.9</v>
      </c>
      <c r="FZ2" s="111">
        <f t="shared" si="2"/>
        <v>98</v>
      </c>
      <c r="GA2" s="111">
        <f t="shared" si="2"/>
        <v>98.1</v>
      </c>
      <c r="GB2" s="111">
        <f t="shared" si="2"/>
        <v>98.2</v>
      </c>
      <c r="GC2" s="111">
        <f t="shared" si="2"/>
        <v>98.3</v>
      </c>
      <c r="GD2" s="111">
        <f t="shared" si="2"/>
        <v>98.4</v>
      </c>
      <c r="GE2" s="111">
        <f t="shared" si="2"/>
        <v>98.5</v>
      </c>
      <c r="GF2" s="111">
        <f t="shared" si="2"/>
        <v>98.6</v>
      </c>
      <c r="GG2" s="111">
        <f t="shared" si="2"/>
        <v>98.7</v>
      </c>
      <c r="GH2" s="111">
        <f t="shared" si="2"/>
        <v>98.8</v>
      </c>
      <c r="GI2" s="111">
        <f t="shared" si="2"/>
        <v>98.9</v>
      </c>
      <c r="GJ2" s="111">
        <f t="shared" si="2"/>
        <v>99</v>
      </c>
      <c r="GK2" s="111">
        <f t="shared" si="2"/>
        <v>99.1</v>
      </c>
      <c r="GL2" s="111">
        <f t="shared" si="2"/>
        <v>99.2</v>
      </c>
      <c r="GM2" s="111">
        <f t="shared" ref="GM2:GR2" si="3">GM1/10</f>
        <v>99.3</v>
      </c>
      <c r="GN2" s="111">
        <f t="shared" si="3"/>
        <v>99.4</v>
      </c>
      <c r="GO2" s="111">
        <f t="shared" si="3"/>
        <v>99.5</v>
      </c>
      <c r="GP2" s="111">
        <f t="shared" si="3"/>
        <v>99.6</v>
      </c>
      <c r="GQ2" s="111">
        <f t="shared" si="3"/>
        <v>99.7</v>
      </c>
      <c r="GR2" s="111">
        <f t="shared" si="3"/>
        <v>100</v>
      </c>
    </row>
    <row r="3" spans="1:200">
      <c r="A3" s="110" t="s">
        <v>149</v>
      </c>
      <c r="B3">
        <v>9688</v>
      </c>
      <c r="C3">
        <v>9513</v>
      </c>
      <c r="D3">
        <v>9366</v>
      </c>
      <c r="E3">
        <v>9274</v>
      </c>
      <c r="F3">
        <v>9181</v>
      </c>
      <c r="G3">
        <v>9087</v>
      </c>
      <c r="H3">
        <v>8981</v>
      </c>
      <c r="I3">
        <v>8887</v>
      </c>
      <c r="J3">
        <v>8793</v>
      </c>
      <c r="K3">
        <v>8726</v>
      </c>
      <c r="L3">
        <v>8661</v>
      </c>
      <c r="M3">
        <v>8604</v>
      </c>
      <c r="N3">
        <v>8562</v>
      </c>
      <c r="O3">
        <v>8523</v>
      </c>
      <c r="P3">
        <v>8479</v>
      </c>
      <c r="Q3">
        <v>8436</v>
      </c>
      <c r="R3">
        <v>8391</v>
      </c>
      <c r="S3">
        <v>8344</v>
      </c>
      <c r="T3">
        <v>8293</v>
      </c>
      <c r="U3">
        <v>8264</v>
      </c>
      <c r="V3">
        <v>8236</v>
      </c>
      <c r="W3">
        <v>8213</v>
      </c>
      <c r="X3">
        <v>8189</v>
      </c>
      <c r="Y3">
        <v>8167</v>
      </c>
      <c r="Z3">
        <v>8150</v>
      </c>
      <c r="AA3">
        <v>8128</v>
      </c>
      <c r="AB3">
        <v>8109</v>
      </c>
      <c r="AC3">
        <v>8097</v>
      </c>
      <c r="AD3">
        <v>8081</v>
      </c>
      <c r="AE3">
        <v>8054</v>
      </c>
      <c r="AF3">
        <v>8037</v>
      </c>
      <c r="AG3">
        <v>8023</v>
      </c>
      <c r="AH3">
        <v>8007</v>
      </c>
      <c r="AI3">
        <v>7993</v>
      </c>
      <c r="AJ3">
        <v>7978</v>
      </c>
      <c r="AK3">
        <v>7963</v>
      </c>
      <c r="AL3">
        <v>7951</v>
      </c>
      <c r="AM3">
        <v>7938</v>
      </c>
      <c r="AN3">
        <v>7921</v>
      </c>
      <c r="AO3">
        <v>7904</v>
      </c>
      <c r="AP3">
        <v>7887</v>
      </c>
      <c r="AQ3">
        <v>7872</v>
      </c>
      <c r="AR3">
        <v>7847</v>
      </c>
      <c r="AS3">
        <v>7829</v>
      </c>
      <c r="AT3">
        <v>7812</v>
      </c>
      <c r="AU3">
        <v>7797</v>
      </c>
      <c r="AV3">
        <v>7780</v>
      </c>
      <c r="AW3">
        <v>7761</v>
      </c>
      <c r="AX3">
        <v>7739</v>
      </c>
      <c r="AY3">
        <v>7716</v>
      </c>
      <c r="AZ3">
        <v>7694</v>
      </c>
      <c r="BA3">
        <v>7671</v>
      </c>
      <c r="BB3">
        <v>7644</v>
      </c>
      <c r="BC3">
        <v>7617</v>
      </c>
      <c r="BD3">
        <v>7592</v>
      </c>
      <c r="BE3">
        <v>7568</v>
      </c>
      <c r="BF3">
        <v>7541</v>
      </c>
      <c r="BG3">
        <v>7517</v>
      </c>
      <c r="BH3">
        <v>7489</v>
      </c>
      <c r="BI3">
        <v>7460</v>
      </c>
      <c r="BJ3">
        <v>7434</v>
      </c>
      <c r="BK3">
        <v>7407</v>
      </c>
      <c r="BL3">
        <v>7379</v>
      </c>
      <c r="BM3">
        <v>7352</v>
      </c>
      <c r="BN3">
        <v>7325</v>
      </c>
      <c r="BO3">
        <v>7297</v>
      </c>
      <c r="BP3">
        <v>7270</v>
      </c>
      <c r="BQ3">
        <v>7245</v>
      </c>
      <c r="BR3">
        <v>7219</v>
      </c>
      <c r="BS3">
        <v>7193</v>
      </c>
      <c r="BT3">
        <v>7168</v>
      </c>
      <c r="BU3">
        <v>7141</v>
      </c>
      <c r="BV3">
        <v>7116</v>
      </c>
      <c r="BW3">
        <v>7088</v>
      </c>
      <c r="BX3">
        <v>7063</v>
      </c>
      <c r="BY3">
        <v>7035</v>
      </c>
      <c r="BZ3">
        <v>7005</v>
      </c>
      <c r="CA3">
        <v>6973</v>
      </c>
      <c r="CB3">
        <v>6943</v>
      </c>
      <c r="CC3">
        <v>6914</v>
      </c>
      <c r="CD3">
        <v>6888</v>
      </c>
      <c r="CE3">
        <v>6859</v>
      </c>
      <c r="CF3">
        <v>6831</v>
      </c>
      <c r="CG3">
        <v>6802</v>
      </c>
      <c r="CH3">
        <v>6769</v>
      </c>
      <c r="CI3">
        <v>6737</v>
      </c>
      <c r="CJ3">
        <v>6709</v>
      </c>
      <c r="CK3">
        <v>6682</v>
      </c>
      <c r="CL3">
        <v>6654</v>
      </c>
      <c r="CM3">
        <v>6626</v>
      </c>
      <c r="CN3">
        <v>6598</v>
      </c>
      <c r="CO3">
        <v>6571</v>
      </c>
      <c r="CP3">
        <v>6544</v>
      </c>
      <c r="CQ3">
        <v>6513</v>
      </c>
      <c r="CR3">
        <v>6486</v>
      </c>
      <c r="CS3">
        <v>6449</v>
      </c>
      <c r="CT3">
        <v>6413</v>
      </c>
      <c r="CU3">
        <v>6377</v>
      </c>
      <c r="CV3">
        <v>6339</v>
      </c>
      <c r="CW3">
        <v>6301</v>
      </c>
      <c r="CX3">
        <v>6267</v>
      </c>
      <c r="CY3">
        <v>6233</v>
      </c>
      <c r="CZ3">
        <v>6203</v>
      </c>
      <c r="DA3">
        <v>6168</v>
      </c>
      <c r="DB3">
        <v>6132</v>
      </c>
      <c r="DC3">
        <v>6097</v>
      </c>
      <c r="DD3">
        <v>6065</v>
      </c>
      <c r="DE3">
        <v>6028</v>
      </c>
      <c r="DF3">
        <v>5996</v>
      </c>
      <c r="DG3">
        <v>5958</v>
      </c>
      <c r="DH3">
        <v>5922</v>
      </c>
      <c r="DI3">
        <v>5889</v>
      </c>
      <c r="DJ3">
        <v>5858</v>
      </c>
      <c r="DK3">
        <v>5822</v>
      </c>
      <c r="DL3">
        <v>5791</v>
      </c>
      <c r="DM3">
        <v>5758</v>
      </c>
      <c r="DN3">
        <v>5727</v>
      </c>
      <c r="DO3">
        <v>5690</v>
      </c>
      <c r="DP3">
        <v>5657</v>
      </c>
      <c r="DQ3">
        <v>5627</v>
      </c>
      <c r="DR3">
        <v>5595</v>
      </c>
      <c r="DS3">
        <v>5560</v>
      </c>
      <c r="DT3">
        <v>5527</v>
      </c>
      <c r="DU3">
        <v>5500</v>
      </c>
      <c r="DV3">
        <v>5465</v>
      </c>
      <c r="DW3">
        <v>5431</v>
      </c>
      <c r="DX3">
        <v>5397</v>
      </c>
      <c r="DY3">
        <v>5366</v>
      </c>
      <c r="DZ3">
        <v>5317</v>
      </c>
      <c r="EA3">
        <v>5287</v>
      </c>
      <c r="EB3">
        <v>5265</v>
      </c>
      <c r="EC3">
        <v>5232</v>
      </c>
      <c r="ED3">
        <v>5200</v>
      </c>
      <c r="EE3">
        <v>5176</v>
      </c>
      <c r="EF3">
        <v>5142</v>
      </c>
      <c r="EG3">
        <v>5106</v>
      </c>
      <c r="EH3">
        <v>5070</v>
      </c>
      <c r="EI3">
        <v>5034</v>
      </c>
      <c r="EJ3">
        <v>4998</v>
      </c>
      <c r="EK3">
        <v>4970</v>
      </c>
      <c r="EL3">
        <v>4931</v>
      </c>
      <c r="EM3">
        <v>4900</v>
      </c>
      <c r="EN3">
        <v>4848</v>
      </c>
      <c r="EO3">
        <v>4818</v>
      </c>
      <c r="EP3">
        <v>4765</v>
      </c>
      <c r="EQ3">
        <v>4715</v>
      </c>
      <c r="ER3">
        <v>4675</v>
      </c>
      <c r="ES3">
        <v>4633</v>
      </c>
      <c r="ET3">
        <v>4588</v>
      </c>
      <c r="EU3">
        <v>4554</v>
      </c>
      <c r="EV3">
        <v>4527</v>
      </c>
      <c r="EW3">
        <v>4478</v>
      </c>
      <c r="EX3">
        <v>4442</v>
      </c>
      <c r="EY3">
        <v>4393</v>
      </c>
      <c r="EZ3">
        <v>4345</v>
      </c>
      <c r="FA3">
        <v>4296</v>
      </c>
      <c r="FB3">
        <v>4246</v>
      </c>
      <c r="FC3">
        <v>4195</v>
      </c>
      <c r="FD3">
        <v>4143</v>
      </c>
      <c r="FE3">
        <v>4104</v>
      </c>
      <c r="FF3">
        <v>4052</v>
      </c>
      <c r="FG3">
        <v>4000</v>
      </c>
      <c r="FH3">
        <v>3946</v>
      </c>
      <c r="FI3">
        <v>3892</v>
      </c>
      <c r="FJ3">
        <v>3836</v>
      </c>
      <c r="FK3">
        <v>3776</v>
      </c>
      <c r="FL3">
        <v>3724</v>
      </c>
      <c r="FM3">
        <v>3681</v>
      </c>
      <c r="FN3">
        <v>3623</v>
      </c>
      <c r="FO3">
        <v>3565</v>
      </c>
      <c r="FP3">
        <v>3507</v>
      </c>
      <c r="FQ3">
        <v>3444</v>
      </c>
      <c r="FR3">
        <v>3395</v>
      </c>
      <c r="FS3">
        <v>3329</v>
      </c>
      <c r="FT3">
        <v>3263</v>
      </c>
      <c r="FU3">
        <v>3196</v>
      </c>
      <c r="FV3">
        <v>3129</v>
      </c>
      <c r="FW3">
        <v>3061</v>
      </c>
      <c r="FX3">
        <v>2991</v>
      </c>
      <c r="FY3">
        <v>2918</v>
      </c>
      <c r="FZ3">
        <v>2855</v>
      </c>
      <c r="GA3">
        <v>2768</v>
      </c>
      <c r="GB3">
        <v>2688</v>
      </c>
      <c r="GC3">
        <v>2578</v>
      </c>
      <c r="GD3">
        <v>2452</v>
      </c>
      <c r="GE3">
        <v>2345</v>
      </c>
      <c r="GF3">
        <v>2225</v>
      </c>
      <c r="GG3">
        <v>2067</v>
      </c>
      <c r="GH3">
        <v>1933</v>
      </c>
      <c r="GI3">
        <v>1792</v>
      </c>
      <c r="GJ3">
        <v>1647</v>
      </c>
      <c r="GK3">
        <v>1470</v>
      </c>
      <c r="GL3">
        <v>1316</v>
      </c>
      <c r="GM3">
        <v>1166</v>
      </c>
      <c r="GN3">
        <v>1014</v>
      </c>
      <c r="GO3">
        <v>878</v>
      </c>
      <c r="GP3">
        <v>688</v>
      </c>
      <c r="GQ3">
        <v>398</v>
      </c>
      <c r="GR3">
        <v>0</v>
      </c>
    </row>
    <row r="4" spans="1:200" s="94" customFormat="1">
      <c r="A4" s="94" t="s">
        <v>150</v>
      </c>
      <c r="B4" s="94">
        <f>B3/100</f>
        <v>96.88</v>
      </c>
      <c r="C4" s="94">
        <f t="shared" ref="C4:BN4" si="4">C3/100</f>
        <v>95.13</v>
      </c>
      <c r="D4" s="94">
        <f t="shared" si="4"/>
        <v>93.66</v>
      </c>
      <c r="E4" s="94">
        <f t="shared" si="4"/>
        <v>92.74</v>
      </c>
      <c r="F4" s="94">
        <f t="shared" si="4"/>
        <v>91.81</v>
      </c>
      <c r="G4" s="94">
        <f t="shared" si="4"/>
        <v>90.87</v>
      </c>
      <c r="H4" s="94">
        <f t="shared" si="4"/>
        <v>89.81</v>
      </c>
      <c r="I4" s="94">
        <f t="shared" si="4"/>
        <v>88.87</v>
      </c>
      <c r="J4" s="94">
        <f t="shared" si="4"/>
        <v>87.93</v>
      </c>
      <c r="K4" s="94">
        <f t="shared" si="4"/>
        <v>87.26</v>
      </c>
      <c r="L4" s="94">
        <f t="shared" si="4"/>
        <v>86.61</v>
      </c>
      <c r="M4" s="94">
        <f t="shared" si="4"/>
        <v>86.04</v>
      </c>
      <c r="N4" s="94">
        <f t="shared" si="4"/>
        <v>85.62</v>
      </c>
      <c r="O4" s="94">
        <f t="shared" si="4"/>
        <v>85.23</v>
      </c>
      <c r="P4" s="94">
        <f t="shared" si="4"/>
        <v>84.79</v>
      </c>
      <c r="Q4" s="94">
        <f t="shared" si="4"/>
        <v>84.36</v>
      </c>
      <c r="R4" s="94">
        <f t="shared" si="4"/>
        <v>83.91</v>
      </c>
      <c r="S4" s="94">
        <f t="shared" si="4"/>
        <v>83.44</v>
      </c>
      <c r="T4" s="94">
        <f t="shared" si="4"/>
        <v>82.93</v>
      </c>
      <c r="U4" s="94">
        <f t="shared" si="4"/>
        <v>82.64</v>
      </c>
      <c r="V4" s="94">
        <f t="shared" si="4"/>
        <v>82.36</v>
      </c>
      <c r="W4" s="94">
        <f t="shared" si="4"/>
        <v>82.13</v>
      </c>
      <c r="X4" s="94">
        <f t="shared" si="4"/>
        <v>81.89</v>
      </c>
      <c r="Y4" s="94">
        <f t="shared" si="4"/>
        <v>81.67</v>
      </c>
      <c r="Z4" s="94">
        <f t="shared" si="4"/>
        <v>81.5</v>
      </c>
      <c r="AA4" s="94">
        <f t="shared" si="4"/>
        <v>81.28</v>
      </c>
      <c r="AB4" s="94">
        <f t="shared" si="4"/>
        <v>81.09</v>
      </c>
      <c r="AC4" s="94">
        <f t="shared" si="4"/>
        <v>80.97</v>
      </c>
      <c r="AD4" s="94">
        <f t="shared" si="4"/>
        <v>80.81</v>
      </c>
      <c r="AE4" s="94">
        <f t="shared" si="4"/>
        <v>80.540000000000006</v>
      </c>
      <c r="AF4" s="94">
        <f t="shared" si="4"/>
        <v>80.37</v>
      </c>
      <c r="AG4" s="94">
        <f t="shared" si="4"/>
        <v>80.23</v>
      </c>
      <c r="AH4" s="94">
        <f t="shared" si="4"/>
        <v>80.069999999999993</v>
      </c>
      <c r="AI4" s="94">
        <f t="shared" si="4"/>
        <v>79.930000000000007</v>
      </c>
      <c r="AJ4" s="94">
        <f t="shared" si="4"/>
        <v>79.78</v>
      </c>
      <c r="AK4" s="94">
        <f t="shared" si="4"/>
        <v>79.63</v>
      </c>
      <c r="AL4" s="94">
        <f t="shared" si="4"/>
        <v>79.510000000000005</v>
      </c>
      <c r="AM4" s="94">
        <f t="shared" si="4"/>
        <v>79.38</v>
      </c>
      <c r="AN4" s="94">
        <f t="shared" si="4"/>
        <v>79.209999999999994</v>
      </c>
      <c r="AO4" s="94">
        <f t="shared" si="4"/>
        <v>79.040000000000006</v>
      </c>
      <c r="AP4" s="94">
        <f t="shared" si="4"/>
        <v>78.87</v>
      </c>
      <c r="AQ4" s="94">
        <f t="shared" si="4"/>
        <v>78.72</v>
      </c>
      <c r="AR4" s="94">
        <f t="shared" si="4"/>
        <v>78.47</v>
      </c>
      <c r="AS4" s="94">
        <f t="shared" si="4"/>
        <v>78.290000000000006</v>
      </c>
      <c r="AT4" s="94">
        <f t="shared" si="4"/>
        <v>78.12</v>
      </c>
      <c r="AU4" s="94">
        <f t="shared" si="4"/>
        <v>77.97</v>
      </c>
      <c r="AV4" s="94">
        <f t="shared" si="4"/>
        <v>77.8</v>
      </c>
      <c r="AW4" s="94">
        <f t="shared" si="4"/>
        <v>77.61</v>
      </c>
      <c r="AX4" s="94">
        <f t="shared" si="4"/>
        <v>77.39</v>
      </c>
      <c r="AY4" s="94">
        <f t="shared" si="4"/>
        <v>77.16</v>
      </c>
      <c r="AZ4" s="94">
        <f t="shared" si="4"/>
        <v>76.94</v>
      </c>
      <c r="BA4" s="94">
        <f t="shared" si="4"/>
        <v>76.709999999999994</v>
      </c>
      <c r="BB4" s="94">
        <f t="shared" si="4"/>
        <v>76.44</v>
      </c>
      <c r="BC4" s="94">
        <f t="shared" si="4"/>
        <v>76.17</v>
      </c>
      <c r="BD4" s="94">
        <f t="shared" si="4"/>
        <v>75.92</v>
      </c>
      <c r="BE4" s="94">
        <f t="shared" si="4"/>
        <v>75.680000000000007</v>
      </c>
      <c r="BF4" s="94">
        <f t="shared" si="4"/>
        <v>75.41</v>
      </c>
      <c r="BG4" s="94">
        <f t="shared" si="4"/>
        <v>75.17</v>
      </c>
      <c r="BH4" s="94">
        <f t="shared" si="4"/>
        <v>74.89</v>
      </c>
      <c r="BI4" s="94">
        <f t="shared" si="4"/>
        <v>74.599999999999994</v>
      </c>
      <c r="BJ4" s="94">
        <f t="shared" si="4"/>
        <v>74.34</v>
      </c>
      <c r="BK4" s="94">
        <f t="shared" si="4"/>
        <v>74.069999999999993</v>
      </c>
      <c r="BL4" s="94">
        <f t="shared" si="4"/>
        <v>73.790000000000006</v>
      </c>
      <c r="BM4" s="94">
        <f t="shared" si="4"/>
        <v>73.52</v>
      </c>
      <c r="BN4" s="94">
        <f t="shared" si="4"/>
        <v>73.25</v>
      </c>
      <c r="BO4" s="94">
        <f t="shared" ref="BO4:DZ4" si="5">BO3/100</f>
        <v>72.97</v>
      </c>
      <c r="BP4" s="94">
        <f t="shared" si="5"/>
        <v>72.7</v>
      </c>
      <c r="BQ4" s="94">
        <f t="shared" si="5"/>
        <v>72.45</v>
      </c>
      <c r="BR4" s="94">
        <f t="shared" si="5"/>
        <v>72.19</v>
      </c>
      <c r="BS4" s="94">
        <f t="shared" si="5"/>
        <v>71.930000000000007</v>
      </c>
      <c r="BT4" s="94">
        <f t="shared" si="5"/>
        <v>71.680000000000007</v>
      </c>
      <c r="BU4" s="94">
        <f t="shared" si="5"/>
        <v>71.41</v>
      </c>
      <c r="BV4" s="94">
        <f t="shared" si="5"/>
        <v>71.16</v>
      </c>
      <c r="BW4" s="94">
        <f t="shared" si="5"/>
        <v>70.88</v>
      </c>
      <c r="BX4" s="94">
        <f t="shared" si="5"/>
        <v>70.63</v>
      </c>
      <c r="BY4" s="94">
        <f t="shared" si="5"/>
        <v>70.349999999999994</v>
      </c>
      <c r="BZ4" s="94">
        <f t="shared" si="5"/>
        <v>70.05</v>
      </c>
      <c r="CA4" s="94">
        <f t="shared" si="5"/>
        <v>69.73</v>
      </c>
      <c r="CB4" s="94">
        <f t="shared" si="5"/>
        <v>69.430000000000007</v>
      </c>
      <c r="CC4" s="94">
        <f t="shared" si="5"/>
        <v>69.14</v>
      </c>
      <c r="CD4" s="94">
        <f t="shared" si="5"/>
        <v>68.88</v>
      </c>
      <c r="CE4" s="94">
        <f t="shared" si="5"/>
        <v>68.59</v>
      </c>
      <c r="CF4" s="94">
        <f t="shared" si="5"/>
        <v>68.31</v>
      </c>
      <c r="CG4" s="94">
        <f t="shared" si="5"/>
        <v>68.02</v>
      </c>
      <c r="CH4" s="94">
        <f t="shared" si="5"/>
        <v>67.69</v>
      </c>
      <c r="CI4" s="94">
        <f t="shared" si="5"/>
        <v>67.37</v>
      </c>
      <c r="CJ4" s="94">
        <f t="shared" si="5"/>
        <v>67.09</v>
      </c>
      <c r="CK4" s="94">
        <f t="shared" si="5"/>
        <v>66.819999999999993</v>
      </c>
      <c r="CL4" s="94">
        <f t="shared" si="5"/>
        <v>66.540000000000006</v>
      </c>
      <c r="CM4" s="94">
        <f t="shared" si="5"/>
        <v>66.260000000000005</v>
      </c>
      <c r="CN4" s="94">
        <f t="shared" si="5"/>
        <v>65.98</v>
      </c>
      <c r="CO4" s="94">
        <f t="shared" si="5"/>
        <v>65.709999999999994</v>
      </c>
      <c r="CP4" s="94">
        <f t="shared" si="5"/>
        <v>65.44</v>
      </c>
      <c r="CQ4" s="94">
        <f t="shared" si="5"/>
        <v>65.13</v>
      </c>
      <c r="CR4" s="94">
        <f t="shared" si="5"/>
        <v>64.86</v>
      </c>
      <c r="CS4" s="94">
        <f t="shared" si="5"/>
        <v>64.489999999999995</v>
      </c>
      <c r="CT4" s="94">
        <f t="shared" si="5"/>
        <v>64.13</v>
      </c>
      <c r="CU4" s="94">
        <f t="shared" si="5"/>
        <v>63.77</v>
      </c>
      <c r="CV4" s="94">
        <f t="shared" si="5"/>
        <v>63.39</v>
      </c>
      <c r="CW4" s="94">
        <f t="shared" si="5"/>
        <v>63.01</v>
      </c>
      <c r="CX4" s="94">
        <f t="shared" si="5"/>
        <v>62.67</v>
      </c>
      <c r="CY4" s="94">
        <f t="shared" si="5"/>
        <v>62.33</v>
      </c>
      <c r="CZ4" s="94">
        <f t="shared" si="5"/>
        <v>62.03</v>
      </c>
      <c r="DA4" s="94">
        <f t="shared" si="5"/>
        <v>61.68</v>
      </c>
      <c r="DB4" s="94">
        <f t="shared" si="5"/>
        <v>61.32</v>
      </c>
      <c r="DC4" s="94">
        <f t="shared" si="5"/>
        <v>60.97</v>
      </c>
      <c r="DD4" s="94">
        <f t="shared" si="5"/>
        <v>60.65</v>
      </c>
      <c r="DE4" s="94">
        <f t="shared" si="5"/>
        <v>60.28</v>
      </c>
      <c r="DF4" s="94">
        <f t="shared" si="5"/>
        <v>59.96</v>
      </c>
      <c r="DG4" s="94">
        <f t="shared" si="5"/>
        <v>59.58</v>
      </c>
      <c r="DH4" s="94">
        <f t="shared" si="5"/>
        <v>59.22</v>
      </c>
      <c r="DI4" s="94">
        <f t="shared" si="5"/>
        <v>58.89</v>
      </c>
      <c r="DJ4" s="94">
        <f t="shared" si="5"/>
        <v>58.58</v>
      </c>
      <c r="DK4" s="94">
        <f t="shared" si="5"/>
        <v>58.22</v>
      </c>
      <c r="DL4" s="94">
        <f t="shared" si="5"/>
        <v>57.91</v>
      </c>
      <c r="DM4" s="94">
        <f t="shared" si="5"/>
        <v>57.58</v>
      </c>
      <c r="DN4" s="94">
        <f t="shared" si="5"/>
        <v>57.27</v>
      </c>
      <c r="DO4" s="94">
        <f t="shared" si="5"/>
        <v>56.9</v>
      </c>
      <c r="DP4" s="94">
        <f t="shared" si="5"/>
        <v>56.57</v>
      </c>
      <c r="DQ4" s="94">
        <f t="shared" si="5"/>
        <v>56.27</v>
      </c>
      <c r="DR4" s="94">
        <f t="shared" si="5"/>
        <v>55.95</v>
      </c>
      <c r="DS4" s="94">
        <f t="shared" si="5"/>
        <v>55.6</v>
      </c>
      <c r="DT4" s="94">
        <f t="shared" si="5"/>
        <v>55.27</v>
      </c>
      <c r="DU4" s="94">
        <f t="shared" si="5"/>
        <v>55</v>
      </c>
      <c r="DV4" s="94">
        <f t="shared" si="5"/>
        <v>54.65</v>
      </c>
      <c r="DW4" s="94">
        <f t="shared" si="5"/>
        <v>54.31</v>
      </c>
      <c r="DX4" s="94">
        <f t="shared" si="5"/>
        <v>53.97</v>
      </c>
      <c r="DY4" s="94">
        <f t="shared" si="5"/>
        <v>53.66</v>
      </c>
      <c r="DZ4" s="94">
        <f t="shared" si="5"/>
        <v>53.17</v>
      </c>
      <c r="EA4" s="94">
        <f t="shared" ref="EA4:GL4" si="6">EA3/100</f>
        <v>52.87</v>
      </c>
      <c r="EB4" s="94">
        <f t="shared" si="6"/>
        <v>52.65</v>
      </c>
      <c r="EC4" s="94">
        <f t="shared" si="6"/>
        <v>52.32</v>
      </c>
      <c r="ED4" s="94">
        <f t="shared" si="6"/>
        <v>52</v>
      </c>
      <c r="EE4" s="94">
        <f t="shared" si="6"/>
        <v>51.76</v>
      </c>
      <c r="EF4" s="94">
        <f t="shared" si="6"/>
        <v>51.42</v>
      </c>
      <c r="EG4" s="94">
        <f t="shared" si="6"/>
        <v>51.06</v>
      </c>
      <c r="EH4" s="94">
        <f t="shared" si="6"/>
        <v>50.7</v>
      </c>
      <c r="EI4" s="94">
        <f t="shared" si="6"/>
        <v>50.34</v>
      </c>
      <c r="EJ4" s="94">
        <f t="shared" si="6"/>
        <v>49.98</v>
      </c>
      <c r="EK4" s="94">
        <f t="shared" si="6"/>
        <v>49.7</v>
      </c>
      <c r="EL4" s="94">
        <f t="shared" si="6"/>
        <v>49.31</v>
      </c>
      <c r="EM4" s="94">
        <f t="shared" si="6"/>
        <v>49</v>
      </c>
      <c r="EN4" s="94">
        <f t="shared" si="6"/>
        <v>48.48</v>
      </c>
      <c r="EO4" s="94">
        <f t="shared" si="6"/>
        <v>48.18</v>
      </c>
      <c r="EP4" s="94">
        <f t="shared" si="6"/>
        <v>47.65</v>
      </c>
      <c r="EQ4" s="94">
        <f t="shared" si="6"/>
        <v>47.15</v>
      </c>
      <c r="ER4" s="94">
        <f t="shared" si="6"/>
        <v>46.75</v>
      </c>
      <c r="ES4" s="94">
        <f t="shared" si="6"/>
        <v>46.33</v>
      </c>
      <c r="ET4" s="94">
        <f t="shared" si="6"/>
        <v>45.88</v>
      </c>
      <c r="EU4" s="94">
        <f t="shared" si="6"/>
        <v>45.54</v>
      </c>
      <c r="EV4" s="94">
        <f t="shared" si="6"/>
        <v>45.27</v>
      </c>
      <c r="EW4" s="94">
        <f t="shared" si="6"/>
        <v>44.78</v>
      </c>
      <c r="EX4" s="94">
        <f t="shared" si="6"/>
        <v>44.42</v>
      </c>
      <c r="EY4" s="94">
        <f t="shared" si="6"/>
        <v>43.93</v>
      </c>
      <c r="EZ4" s="94">
        <f t="shared" si="6"/>
        <v>43.45</v>
      </c>
      <c r="FA4" s="94">
        <f t="shared" si="6"/>
        <v>42.96</v>
      </c>
      <c r="FB4" s="94">
        <f t="shared" si="6"/>
        <v>42.46</v>
      </c>
      <c r="FC4" s="94">
        <f t="shared" si="6"/>
        <v>41.95</v>
      </c>
      <c r="FD4" s="94">
        <f t="shared" si="6"/>
        <v>41.43</v>
      </c>
      <c r="FE4" s="94">
        <f t="shared" si="6"/>
        <v>41.04</v>
      </c>
      <c r="FF4" s="94">
        <f t="shared" si="6"/>
        <v>40.520000000000003</v>
      </c>
      <c r="FG4" s="94">
        <f t="shared" si="6"/>
        <v>40</v>
      </c>
      <c r="FH4" s="94">
        <f t="shared" si="6"/>
        <v>39.46</v>
      </c>
      <c r="FI4" s="94">
        <f t="shared" si="6"/>
        <v>38.92</v>
      </c>
      <c r="FJ4" s="94">
        <f t="shared" si="6"/>
        <v>38.36</v>
      </c>
      <c r="FK4" s="94">
        <f t="shared" si="6"/>
        <v>37.76</v>
      </c>
      <c r="FL4" s="94">
        <f t="shared" si="6"/>
        <v>37.24</v>
      </c>
      <c r="FM4" s="94">
        <f t="shared" si="6"/>
        <v>36.81</v>
      </c>
      <c r="FN4" s="94">
        <f t="shared" si="6"/>
        <v>36.229999999999997</v>
      </c>
      <c r="FO4" s="94">
        <f t="shared" si="6"/>
        <v>35.65</v>
      </c>
      <c r="FP4" s="94">
        <f t="shared" si="6"/>
        <v>35.07</v>
      </c>
      <c r="FQ4" s="94">
        <f t="shared" si="6"/>
        <v>34.44</v>
      </c>
      <c r="FR4" s="94">
        <f t="shared" si="6"/>
        <v>33.950000000000003</v>
      </c>
      <c r="FS4" s="94">
        <f t="shared" si="6"/>
        <v>33.29</v>
      </c>
      <c r="FT4" s="94">
        <f t="shared" si="6"/>
        <v>32.630000000000003</v>
      </c>
      <c r="FU4" s="94">
        <f t="shared" si="6"/>
        <v>31.96</v>
      </c>
      <c r="FV4" s="94">
        <f t="shared" si="6"/>
        <v>31.29</v>
      </c>
      <c r="FW4" s="94">
        <f t="shared" si="6"/>
        <v>30.61</v>
      </c>
      <c r="FX4" s="94">
        <f t="shared" si="6"/>
        <v>29.91</v>
      </c>
      <c r="FY4" s="94">
        <f t="shared" si="6"/>
        <v>29.18</v>
      </c>
      <c r="FZ4" s="94">
        <f t="shared" si="6"/>
        <v>28.55</v>
      </c>
      <c r="GA4" s="94">
        <f t="shared" si="6"/>
        <v>27.68</v>
      </c>
      <c r="GB4" s="94">
        <f t="shared" si="6"/>
        <v>26.88</v>
      </c>
      <c r="GC4" s="94">
        <f t="shared" si="6"/>
        <v>25.78</v>
      </c>
      <c r="GD4" s="94">
        <f t="shared" si="6"/>
        <v>24.52</v>
      </c>
      <c r="GE4" s="94">
        <f t="shared" si="6"/>
        <v>23.45</v>
      </c>
      <c r="GF4" s="94">
        <f t="shared" si="6"/>
        <v>22.25</v>
      </c>
      <c r="GG4" s="94">
        <f t="shared" si="6"/>
        <v>20.67</v>
      </c>
      <c r="GH4" s="94">
        <f t="shared" si="6"/>
        <v>19.329999999999998</v>
      </c>
      <c r="GI4" s="94">
        <f t="shared" si="6"/>
        <v>17.920000000000002</v>
      </c>
      <c r="GJ4" s="94">
        <f t="shared" si="6"/>
        <v>16.47</v>
      </c>
      <c r="GK4" s="94">
        <f t="shared" si="6"/>
        <v>14.7</v>
      </c>
      <c r="GL4" s="94">
        <f t="shared" si="6"/>
        <v>13.16</v>
      </c>
      <c r="GM4" s="94">
        <f t="shared" ref="GM4:GR4" si="7">GM3/100</f>
        <v>11.66</v>
      </c>
      <c r="GN4" s="94">
        <f t="shared" si="7"/>
        <v>10.14</v>
      </c>
      <c r="GO4" s="94">
        <f t="shared" si="7"/>
        <v>8.7799999999999994</v>
      </c>
      <c r="GP4" s="94">
        <f t="shared" si="7"/>
        <v>6.88</v>
      </c>
      <c r="GQ4" s="94">
        <f t="shared" si="7"/>
        <v>3.98</v>
      </c>
      <c r="GR4" s="94">
        <f t="shared" si="7"/>
        <v>0</v>
      </c>
    </row>
    <row r="5" spans="1:200">
      <c r="G5" s="89"/>
      <c r="I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GF5" s="89"/>
      <c r="GG5" s="89"/>
      <c r="GH5" s="89"/>
      <c r="GI5" s="89"/>
      <c r="GJ5" s="89"/>
      <c r="GK5" s="89"/>
      <c r="GL5" s="89"/>
      <c r="GM5" s="89"/>
      <c r="GN5" s="89"/>
      <c r="GO5" s="89"/>
      <c r="GP5" s="89"/>
    </row>
    <row r="6" spans="1:200">
      <c r="EV6" s="89"/>
    </row>
    <row r="9" spans="1:200">
      <c r="AA9" s="89"/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Плата V1</vt:lpstr>
      <vt:lpstr>Плата V2</vt:lpstr>
      <vt:lpstr>LCD 1602</vt:lpstr>
      <vt:lpstr>Пересчет давления</vt:lpstr>
      <vt:lpstr>Пересчет в алкоголь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Разживин</dc:creator>
  <cp:lastModifiedBy>kotyara12</cp:lastModifiedBy>
  <cp:revision>8</cp:revision>
  <dcterms:created xsi:type="dcterms:W3CDTF">2021-08-02T05:40:52Z</dcterms:created>
  <dcterms:modified xsi:type="dcterms:W3CDTF">2024-02-13T16:27:51Z</dcterms:modified>
</cp:coreProperties>
</file>